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  <sheet state="hidden" name="Sheet12" sheetId="2" r:id="rId5"/>
    <sheet state="hidden" name="Template" sheetId="3" r:id="rId6"/>
    <sheet state="hidden" name="Sheet2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9">
      <text>
        <t xml:space="preserve">Cant simultaneously drive motor at same time?
	-Justin Chen</t>
      </text>
    </comment>
  </commentList>
</comments>
</file>

<file path=xl/sharedStrings.xml><?xml version="1.0" encoding="utf-8"?>
<sst xmlns="http://schemas.openxmlformats.org/spreadsheetml/2006/main" count="619" uniqueCount="234">
  <si>
    <t>Supplier</t>
  </si>
  <si>
    <t>Order</t>
  </si>
  <si>
    <t>Part Number</t>
  </si>
  <si>
    <t>Count</t>
  </si>
  <si>
    <t>Quantity</t>
  </si>
  <si>
    <t>Unit Price</t>
  </si>
  <si>
    <t>Total Cost</t>
  </si>
  <si>
    <t>Status</t>
  </si>
  <si>
    <t>Notes</t>
  </si>
  <si>
    <t>Link</t>
  </si>
  <si>
    <t>Datasheet</t>
  </si>
  <si>
    <t>Digikey</t>
  </si>
  <si>
    <t>IR. Emitter (940nm)</t>
  </si>
  <si>
    <t>SFH 4545</t>
  </si>
  <si>
    <t>Not Ordered</t>
  </si>
  <si>
    <t>https://www.digikey.com/short/p79947wh</t>
  </si>
  <si>
    <t>https://look.ams-osram.com/m/3456970c8eccd2cb/original/SFH-4545.pdf</t>
  </si>
  <si>
    <t>IR Reciever</t>
  </si>
  <si>
    <t>TEFT4300</t>
  </si>
  <si>
    <t>https://www.digikey.com/short/tznrt051</t>
  </si>
  <si>
    <t>https://www.vishay.com/docs/81549/teft4300.pdf</t>
  </si>
  <si>
    <t>NMOS</t>
  </si>
  <si>
    <t>PJA3428_R1_00001</t>
  </si>
  <si>
    <t>5</t>
  </si>
  <si>
    <t>1</t>
  </si>
  <si>
    <t>https://www.digikey.com/short/jj7zfb9v</t>
  </si>
  <si>
    <t>https://toshiba.semicon-storage.com/info/SSM3K335R_datasheet_en_20250321.pdf?did=13020&amp;prodName=SSM3K335R</t>
  </si>
  <si>
    <t>6-pin JST Header</t>
  </si>
  <si>
    <t>BM06B-SRSS-TB</t>
  </si>
  <si>
    <t>$0.67</t>
  </si>
  <si>
    <t>https://www.digikey.com/short/7rzcn2wm</t>
  </si>
  <si>
    <t>https://www.jst-mfg.com/product/pdf/eng/eSH.pdf</t>
  </si>
  <si>
    <t>STM32H5 (48 pin)</t>
  </si>
  <si>
    <t>STM32H503CBT7</t>
  </si>
  <si>
    <t>3</t>
  </si>
  <si>
    <t>19 stock remaining</t>
  </si>
  <si>
    <t>https://www.digikey.com/short/ddcf4p0p</t>
  </si>
  <si>
    <t>https://www.st.com/resource/en/datasheet/stm32h503eb.pdf</t>
  </si>
  <si>
    <t>Neopixel (10 pack)</t>
  </si>
  <si>
    <t>1655</t>
  </si>
  <si>
    <t>Package has 10 LEDs</t>
  </si>
  <si>
    <t>https://www.digikey.com/short/bnrh49nr</t>
  </si>
  <si>
    <t>https://mm.digikey.com/Volume0/opasdata/d220001/medias/docus/6130/1655.pdf</t>
  </si>
  <si>
    <t>9-Axis IMU</t>
  </si>
  <si>
    <t>ICM-20948</t>
  </si>
  <si>
    <t>https://www.digikey.com/short/0j78n5mz</t>
  </si>
  <si>
    <t>https://invensense.tdk.com/wp-content/uploads/2024/03/DS-000189-ICM-20948-v1.6.pdf</t>
  </si>
  <si>
    <t>Power Switch</t>
  </si>
  <si>
    <t>SLW-105558-2A-N-D</t>
  </si>
  <si>
    <t>https://www.digikey.com/short/3vjdjwpw</t>
  </si>
  <si>
    <t>https://www.sameskydevices.com/product/resource/slw-105558-2a-n-d.pdf</t>
  </si>
  <si>
    <t>Push Button</t>
  </si>
  <si>
    <t>Buzzer</t>
  </si>
  <si>
    <t>PT-1306T</t>
  </si>
  <si>
    <t>https://www.digikey.com/short/r792247f</t>
  </si>
  <si>
    <t>https://www.soberton.com/wp-content/uploads/2022/03/PT-1306T.pdf</t>
  </si>
  <si>
    <t>Gate Driver</t>
  </si>
  <si>
    <t>UCC27524DSDR</t>
  </si>
  <si>
    <t>https://www.digikey.com/short/rztp78f9</t>
  </si>
  <si>
    <t>https://www.ti.com/general/docs/suppproductinfo.tsp?distId=10&amp;gotoUrl=https%3A%2F%2Fwww.ti.com%2Flit%2Fgpn%2Fucc27524</t>
  </si>
  <si>
    <t>MOSFET H-Bridge</t>
  </si>
  <si>
    <t>ZXMHC3F381N8TC</t>
  </si>
  <si>
    <t>https://www.digikey.com/short/t558799t</t>
  </si>
  <si>
    <t>https://www.diodes.com/assets/Datasheets/ZXMHC3F381N8.pdf</t>
  </si>
  <si>
    <t>Yellow LED</t>
  </si>
  <si>
    <t>B1501UY--20D001913U1930</t>
  </si>
  <si>
    <t>https://www.digikey.com/short/t550nvpn</t>
  </si>
  <si>
    <t>https://mm.digikey.com/Volume0/opasdata/d220001/medias/docus/544/B1501UY--20D001913U1930.pdf</t>
  </si>
  <si>
    <t>1V8 LDO Regulator</t>
  </si>
  <si>
    <t>MC78LC18NTRG</t>
  </si>
  <si>
    <t>https://www.digikey.com/short/3zfbp3h8</t>
  </si>
  <si>
    <t>https://www.onsemi.com/pdf/datasheet/mc78lc00-d.pdf</t>
  </si>
  <si>
    <t>3V3 LDO Regulator</t>
  </si>
  <si>
    <t>AP2210N-3.3TRG1</t>
  </si>
  <si>
    <t>https://www.digikey.com/short/5wrhmztf</t>
  </si>
  <si>
    <t>https://www.diodes.com/assets/Datasheets/AP2210.pdf</t>
  </si>
  <si>
    <t>5V LDO Regulator</t>
  </si>
  <si>
    <t>LM1085ISX-5.0/NOPB</t>
  </si>
  <si>
    <t>https://www.digikey.com/short/f0f7whp5</t>
  </si>
  <si>
    <t>https://www.ti.com/lit/ds/symlink/lm1085.pdf</t>
  </si>
  <si>
    <t>0.1uF Ceramic Cap</t>
  </si>
  <si>
    <t>C1206C104K5RAC7210</t>
  </si>
  <si>
    <t>https://www.digikey.com/short/bq453dtn</t>
  </si>
  <si>
    <t>https://www.yageogroup.com/content/datasheet/asset/file/KEM_C1002_X7R_SMD</t>
  </si>
  <si>
    <t>1uF Ceramic Cap</t>
  </si>
  <si>
    <t>CL31B105KAHNNNE</t>
  </si>
  <si>
    <t>https://www.digikey.com/short/7zt9p85r</t>
  </si>
  <si>
    <t>https://weblib.samsungsem.com/mlcc/mlcc-ec-data-sheet.do?partNumber=CL05Y105KP6VPN</t>
  </si>
  <si>
    <t>2.2uF Ceramic Cap</t>
  </si>
  <si>
    <t>CL10A225KO8NNNC</t>
  </si>
  <si>
    <t>https://www.digikey.com/short/f93t7b49</t>
  </si>
  <si>
    <t>https://mm.digikey.com/Volume0/opasdata/d220001/medias/docus/421/CL10A225KO8NNNC_Spec.pdf</t>
  </si>
  <si>
    <t>10uF Tantalum Cap</t>
  </si>
  <si>
    <t>TAJA106K010SNJ</t>
  </si>
  <si>
    <t>https://www.digikey.com/short/rmr598h3</t>
  </si>
  <si>
    <t>https://datasheets.kyocera-avx.com/TAJ.pdf</t>
  </si>
  <si>
    <t>4.7uF Ceramic Cap</t>
  </si>
  <si>
    <t>GRM188R61E475KE11D</t>
  </si>
  <si>
    <t>https://www.digikey.com/short/bqb93zpw</t>
  </si>
  <si>
    <t>https://search.murata.co.jp/Ceramy/image/img/A01X/G101/ENG/GRM188R61E475KE11-01.pdf</t>
  </si>
  <si>
    <t>100uF Ceramic Cap</t>
  </si>
  <si>
    <t>25YXJ100MT15X11</t>
  </si>
  <si>
    <t>https://www.digikey.com/short/m4nh0t4v</t>
  </si>
  <si>
    <t>https://www.rubycon.co.jp/wp-content/uploads/catalog-aluminum/YXJ.pdf</t>
  </si>
  <si>
    <t>33Ω Resistor</t>
  </si>
  <si>
    <t>ERJ-6GEYJ330V</t>
  </si>
  <si>
    <t>https://www.digikey.com/short/cvdz3p45</t>
  </si>
  <si>
    <t>https://industrial.panasonic.com/cdbs/www-data/pdf/RDA0000/AOA0000C301.pdf</t>
  </si>
  <si>
    <t>220Ω Resistor</t>
  </si>
  <si>
    <t>RC0402FR-07220RL</t>
  </si>
  <si>
    <t>https://www.digikey.com/short/52hjjmzj</t>
  </si>
  <si>
    <t>https://www.yageo.com/upload/media/product/products/datasheet/rchip/PYu-RC_Group_51_RoHS_L_12.pdf</t>
  </si>
  <si>
    <t>500Ω Resistor</t>
  </si>
  <si>
    <t>RT0603BRC07500RL</t>
  </si>
  <si>
    <t>https://www.digikey.com/short/vdddtf3m</t>
  </si>
  <si>
    <t>https://www.yageogroup.com/content/datasheet/asset/file/PYU-RT_1-TO-0-01_ROHS_L</t>
  </si>
  <si>
    <t>1kΩ Resistor</t>
  </si>
  <si>
    <t>RC0603FR-071KL</t>
  </si>
  <si>
    <t>https://www.digikey.com/short/tjnqbzwq</t>
  </si>
  <si>
    <t>https://www.yageogroup.com/content/datasheet/asset/file/PYU-RC_GROUP_51_ROHS_L</t>
  </si>
  <si>
    <t>10kΩ Resistor</t>
  </si>
  <si>
    <t>RMCF1206FT10K0</t>
  </si>
  <si>
    <t>https://www.digikey.com/short/d0r20hpq</t>
  </si>
  <si>
    <t>https://www.seielect.com/catalog/SEI-RMCF_RMCP.pdf</t>
  </si>
  <si>
    <t>1mH Inductor</t>
  </si>
  <si>
    <t>LB2518T102K</t>
  </si>
  <si>
    <t>https://www.digikey.com/short/5h5nmp1c</t>
  </si>
  <si>
    <t>https://mm.digikey.com/Volume0/opasdata/d220001/medias/docus/610/LB2518T102K_SS.pdf</t>
  </si>
  <si>
    <t>Shipping</t>
  </si>
  <si>
    <t>Pololu</t>
  </si>
  <si>
    <t>Motor Encoder</t>
  </si>
  <si>
    <t>4761</t>
  </si>
  <si>
    <t>Arrived</t>
  </si>
  <si>
    <t>https://www.pololu.com/product/4761</t>
  </si>
  <si>
    <t>https://www.ti.com/lit/ds/symlink/drv5013.pdf</t>
  </si>
  <si>
    <t>https://www.pololu.com/file/0J1718/pololu-4760-4761-schematic.pdf</t>
  </si>
  <si>
    <t>https://www.pololu.com/file/0J1721/pololu-4760-4761-dimensions.pdf</t>
  </si>
  <si>
    <t>50:1 HP 6V Motor</t>
  </si>
  <si>
    <t>2213</t>
  </si>
  <si>
    <t>https://www.pololu.com/product/2213/resources</t>
  </si>
  <si>
    <t>https://www.pololu.com/file/0J1487/pololu-micro-metal-gearmotors-rev-6-1.pdf</t>
  </si>
  <si>
    <t>Wheels</t>
  </si>
  <si>
    <t>1087</t>
  </si>
  <si>
    <t>https://www.pololu.com/product/1087/resources</t>
  </si>
  <si>
    <t>https://www.pololu.com/file/0J1708/pololu-wheel-dimensions.pdf</t>
  </si>
  <si>
    <t>6-Pin JST Wires</t>
  </si>
  <si>
    <t>4765</t>
  </si>
  <si>
    <t>https://www.pololu.com/product/4765</t>
  </si>
  <si>
    <t>Motor Bracket</t>
  </si>
  <si>
    <t>989</t>
  </si>
  <si>
    <t>https://www.pololu.com/product/989</t>
  </si>
  <si>
    <t>Amazon</t>
  </si>
  <si>
    <t>Motor Driver (10 pack)</t>
  </si>
  <si>
    <t>L293D</t>
  </si>
  <si>
    <t>Reused motor driver,</t>
  </si>
  <si>
    <t>https://www.amazon.com/Bridgold-16-pin-Stepper-Drivers-Controllers/dp/B07NXTWJV9/ref=sr_1_3?crid=242KTWZMSXNSR&amp;keywords=l293d&amp;qid=1657220711&amp;sprefix=l293%2Caps%2C129&amp;sr=8-3</t>
  </si>
  <si>
    <t>https://www.digikey.com/short/npc9rw4r</t>
  </si>
  <si>
    <t>Male Header (Dupont)</t>
  </si>
  <si>
    <t>Female Header (Dupont)</t>
  </si>
  <si>
    <t>TOTAL COST</t>
  </si>
  <si>
    <t>Extra Stuff</t>
  </si>
  <si>
    <t>Dip Socket</t>
  </si>
  <si>
    <t>ICS-316-T</t>
  </si>
  <si>
    <t>2</t>
  </si>
  <si>
    <t>$0.14</t>
  </si>
  <si>
    <t>Reusing Motor Dirver</t>
  </si>
  <si>
    <t>https://www.digikey.com/short/tq75273m</t>
  </si>
  <si>
    <t>https://app.adam-tech.com/products/download/data_sheet/199582/ics-3xx-t-data-sheet.pdf</t>
  </si>
  <si>
    <t>PWM Mode L, H</t>
  </si>
  <si>
    <t>TC78H660FTG,EL</t>
  </si>
  <si>
    <t>$1.04</t>
  </si>
  <si>
    <t>https://www.digikey.com/short/2dbhvjqf</t>
  </si>
  <si>
    <t>https://toshiba.semicon-storage.com/info/TC78H660FTG_datasheet_en_20200714.pdf?did=68604&amp;prodName=TC78H660FTG</t>
  </si>
  <si>
    <t>PWM Mode L, H Better Packaging</t>
  </si>
  <si>
    <t>TC78H660FNG,EL</t>
  </si>
  <si>
    <t>$1.1</t>
  </si>
  <si>
    <t>https://www.digikey.com/short/jf925bpc</t>
  </si>
  <si>
    <t>https://toshiba.semicon-storage.com/info/TC78H660FNG_datasheet_en_20200908.pdf?did=69605&amp;prodName=TC78H660FNG</t>
  </si>
  <si>
    <t>Motor Driver, PWM input</t>
  </si>
  <si>
    <t>TB6552FTG,8,EL</t>
  </si>
  <si>
    <t>$1.29000</t>
  </si>
  <si>
    <t>https://www.digikey.com/short/2393prhp</t>
  </si>
  <si>
    <t>https://toshiba.semicon-storage.com/info/TB6552FTG_datasheet_en_20170808.pdf?did=16151&amp;prodName=TB6552FTG</t>
  </si>
  <si>
    <t>*Motor Driver, PWM input, better packaging</t>
  </si>
  <si>
    <t>TB6552FNG,C,8,EL</t>
  </si>
  <si>
    <t>$1.47</t>
  </si>
  <si>
    <t>https://www.digikey.com/short/m0tqc344</t>
  </si>
  <si>
    <t>Overkill Motor Driver</t>
  </si>
  <si>
    <t>TC78H653FTG,EL</t>
  </si>
  <si>
    <t>$1.32</t>
  </si>
  <si>
    <t>https://www.digikey.com/short/83prqqdc</t>
  </si>
  <si>
    <t>https://toshiba.semicon-storage.com/info/TC78H653FTG_datasheet_en_20190404.pdf?did=63589&amp;prodName=TC78H653FTG</t>
  </si>
  <si>
    <t>Neopixel Alt1</t>
  </si>
  <si>
    <t>150352M173300</t>
  </si>
  <si>
    <t>https://www.digikey.com/short/9zdfw1qd</t>
  </si>
  <si>
    <t>https://www.we-online.com/components/products/datasheet/150352M173300.pdf</t>
  </si>
  <si>
    <t>Neopixel Alt2</t>
  </si>
  <si>
    <t>16347</t>
  </si>
  <si>
    <t>https://www.digikey.com/short/dr08089r</t>
  </si>
  <si>
    <t>https://cdn.sparkfun.com/datasheets/BreakoutBoards/WS2812B.pdf</t>
  </si>
  <si>
    <t>STM32H5 (UFQFPN)</t>
  </si>
  <si>
    <r>
      <rPr>
        <rFont val="Arial"/>
        <color theme="1"/>
        <u/>
      </rPr>
      <t>STM32H5</t>
    </r>
    <r>
      <rPr>
        <rFont val="Arial"/>
        <color theme="1"/>
      </rPr>
      <t>03CBU7TR</t>
    </r>
  </si>
  <si>
    <t>BRO IT'S WORTH IT</t>
  </si>
  <si>
    <t>https://www.digikey.com/short/qp30cv5p</t>
  </si>
  <si>
    <t>STM32F4</t>
  </si>
  <si>
    <t>STM32F410CBT6</t>
  </si>
  <si>
    <t>https://www.digikey.com/short/zjd7vrbw</t>
  </si>
  <si>
    <t>https://www.st.com/resource/en/datasheet/stm32f410cb.pdf</t>
  </si>
  <si>
    <t>IMU 6-Axis LQFP</t>
  </si>
  <si>
    <t>FSP201-BULK</t>
  </si>
  <si>
    <t>$8.61</t>
  </si>
  <si>
    <t>https://www.digikey.com/short/0mfwnmv1</t>
  </si>
  <si>
    <t>https://mm.digikey.com/Volume0/opasdata/d220001/medias/docus/5734/FSP201_v1.4_Oct2023.pdf</t>
  </si>
  <si>
    <t>6-pin JST Cable</t>
  </si>
  <si>
    <t>A06SR06SR30K102B</t>
  </si>
  <si>
    <t>$1.52</t>
  </si>
  <si>
    <t>https://www.digikey.com/short/vj5hcfjb</t>
  </si>
  <si>
    <t>https://mm.digikey.com/Volume0/opasdata/d220001/medias/docus/6379/JST.Suffix.Prefix.chart.06.01.23%20%283%29.pdf</t>
  </si>
  <si>
    <t>IMU 6-Axis</t>
  </si>
  <si>
    <t>MPU-6500</t>
  </si>
  <si>
    <t>$7.17</t>
  </si>
  <si>
    <t>https://www.digikey.com/short/w58r3f41</t>
  </si>
  <si>
    <t>https://invensense.tdk.com/wp-content/uploads/2020/06/PS-MPU-6500A-01-v1.3.pdf</t>
  </si>
  <si>
    <t>Smasnug 100nF</t>
  </si>
  <si>
    <t>CL31B104KBCNNNC</t>
  </si>
  <si>
    <t>0.11000</t>
  </si>
  <si>
    <t>https://www.digikey.com/short/tjn285hm</t>
  </si>
  <si>
    <t>https://mm.digikey.com/Volume0/opasdata/d220001/medias/docus/1256/CL31B104KBCNNNC_Spec.pdf</t>
  </si>
  <si>
    <r>
      <rPr>
        <rFont val="Arial"/>
        <color theme="1"/>
        <u/>
      </rPr>
      <t>STM32H5</t>
    </r>
    <r>
      <rPr>
        <rFont val="Arial"/>
        <color theme="1"/>
      </rPr>
      <t>03CBU7TR</t>
    </r>
  </si>
  <si>
    <t>Cost per Count</t>
  </si>
  <si>
    <t>https://www.mattmillman.com/info/crimpconnectors/common-jst-connector-types/</t>
  </si>
  <si>
    <t>https://www.digikey.com/en/products/detail/rohm-semiconductor/BD60210FV-E2/26524654?_gl=1*1sam7wy*_up*MQ..*_gs*MQ..&amp;gclid=EAIaIQobChMImJOxib__jQMVrDIIBR3P0SK4EAAYASAAEgI1N_D_BwE&amp;gclsrc=aw.ds&amp;gbraid=0AAAAADrbLlhK77QQeTpIfqxygZ5EzRb0E</t>
  </si>
  <si>
    <t>https://www.digikey.com/en/products/detail/toshiba-semiconductor-and-storage/TC78H620FNG-EL/7056839?_gl=1*6a4bpe*_up*MQ..*_gs*MQ..&amp;gclid=EAIaIQobChMImJOxib__jQMVrDIIBR3P0SK4EAAYASAAEgI1N_D_BwE&amp;gclsrc=aw.ds&amp;gbraid=0AAAAADrbLlhK77QQeTpIfqxygZ5EzRb0E</t>
  </si>
  <si>
    <t>https://www.digikey.com/en/products/detail/stmicroelectronics/L293DD/585913?gad_source=1&amp;gad_campaignid=9265913509&amp;gbraid=0AAAAADrbLlhRbXcn7xTlPRSZFe_qJAkTI&amp;gclid=EAIaIQobChMIw9qlvfCajgMVix9ECB1JAxRUEAAYAiAAEgKgz_D_BwE&amp;gclsrc=aw.ds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</si>
</sst>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b/>
      <sz val="15.0"/>
      <color theme="1"/>
      <name val="Roboto"/>
    </font>
    <font>
      <b/>
      <sz val="15.0"/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/>
    <font>
      <u/>
      <color rgb="FF0000FF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0000FF"/>
    </font>
    <font>
      <b/>
      <sz val="10.0"/>
      <color rgb="FF000000"/>
      <name val="Arial"/>
      <scheme val="minor"/>
    </font>
    <font>
      <u/>
      <sz val="10.0"/>
      <color rgb="FF0000FF"/>
    </font>
    <font>
      <u/>
      <sz val="10.0"/>
      <color rgb="FF0000FF"/>
    </font>
    <font>
      <u/>
      <color rgb="FF0000FF"/>
      <name val="Arial"/>
    </font>
    <font>
      <u/>
      <color rgb="FF1155CC"/>
      <name val="Arial"/>
    </font>
    <font>
      <strike/>
      <sz val="10.0"/>
      <color theme="1"/>
      <name val="Arial"/>
      <scheme val="minor"/>
    </font>
    <font>
      <b/>
      <strike/>
      <sz val="10.0"/>
      <color rgb="FF000000"/>
      <name val="Arial"/>
      <scheme val="minor"/>
    </font>
    <font>
      <strike/>
      <color theme="1"/>
      <name val="Arial"/>
    </font>
    <font>
      <strike/>
      <sz val="10.0"/>
      <color rgb="FF0000FF"/>
    </font>
    <font>
      <b/>
      <strike/>
      <sz val="18.0"/>
      <color theme="1"/>
      <name val="Arial"/>
      <scheme val="minor"/>
    </font>
    <font>
      <b/>
      <strike/>
      <sz val="10.0"/>
      <color theme="1"/>
      <name val="Arial"/>
      <scheme val="minor"/>
    </font>
    <font>
      <strike/>
      <color theme="1"/>
      <name val="Arial"/>
      <scheme val="minor"/>
    </font>
    <font>
      <strike/>
      <u/>
      <sz val="10.0"/>
      <color rgb="FF0000FF"/>
    </font>
    <font>
      <strike/>
      <sz val="10.0"/>
      <color rgb="FF1155CC"/>
    </font>
    <font>
      <u/>
      <sz val="10.0"/>
      <color rgb="FF0000FF"/>
    </font>
    <font>
      <u/>
      <sz val="10.0"/>
      <color rgb="FF0000FF"/>
    </font>
    <font>
      <sz val="9.0"/>
      <color rgb="FF222222"/>
      <name val="Roboto"/>
    </font>
    <font>
      <color rgb="FFFFFFFF"/>
      <name val="Roboto"/>
    </font>
    <font>
      <u/>
      <color rgb="FF0000FF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990000"/>
        <bgColor rgb="FF990000"/>
      </patternFill>
    </fill>
    <fill>
      <patternFill patternType="solid">
        <fgColor rgb="FF626E7A"/>
        <bgColor rgb="FF626E7A"/>
      </patternFill>
    </fill>
    <fill>
      <patternFill patternType="solid">
        <fgColor rgb="FFD8DBDE"/>
        <bgColor rgb="FFD8DBDE"/>
      </patternFill>
    </fill>
    <fill>
      <patternFill patternType="solid">
        <fgColor rgb="FFD7DADD"/>
        <bgColor rgb="FFD7DADD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730000"/>
      </bottom>
    </border>
    <border>
      <left style="thin">
        <color rgb="FF626E7A"/>
      </left>
      <right style="thin">
        <color rgb="FF4A535C"/>
      </right>
      <top style="thin">
        <color rgb="FF4A535C"/>
      </top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2" fontId="1" numFmtId="0" xfId="0" applyAlignment="1" applyBorder="1" applyFont="1">
      <alignment readingOrder="0" shrinkToFit="0" wrapText="1"/>
    </xf>
    <xf borderId="1" fillId="2" fontId="1" numFmtId="49" xfId="0" applyAlignment="1" applyBorder="1" applyFont="1" applyNumberFormat="1">
      <alignment readingOrder="0" shrinkToFit="0" wrapText="1"/>
    </xf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left" readingOrder="0" shrinkToFit="0" wrapText="1"/>
    </xf>
    <xf borderId="1" fillId="2" fontId="1" numFmtId="0" xfId="0" applyAlignment="1" applyBorder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2" fillId="3" fontId="3" numFmtId="49" xfId="0" applyAlignment="1" applyBorder="1" applyFill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wrapText="0"/>
    </xf>
    <xf borderId="1" fillId="4" fontId="5" numFmtId="49" xfId="0" applyAlignment="1" applyBorder="1" applyFill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readingOrder="0" shrinkToFit="0" wrapText="0"/>
    </xf>
    <xf borderId="1" fillId="4" fontId="5" numFmtId="49" xfId="0" applyBorder="1" applyFont="1" applyNumberFormat="1"/>
    <xf borderId="1" fillId="4" fontId="7" numFmtId="49" xfId="0" applyAlignment="1" applyBorder="1" applyFont="1" applyNumberFormat="1">
      <alignment readingOrder="0"/>
    </xf>
    <xf borderId="1" fillId="4" fontId="8" numFmtId="49" xfId="0" applyAlignment="1" applyBorder="1" applyFont="1" applyNumberFormat="1">
      <alignment readingOrder="0"/>
    </xf>
    <xf borderId="0" fillId="4" fontId="5" numFmtId="0" xfId="0" applyAlignment="1" applyFont="1">
      <alignment readingOrder="0"/>
    </xf>
    <xf borderId="3" fillId="0" fontId="9" numFmtId="0" xfId="0" applyBorder="1" applyFont="1"/>
    <xf borderId="1" fillId="5" fontId="5" numFmtId="49" xfId="0" applyAlignment="1" applyBorder="1" applyFill="1" applyFont="1" applyNumberFormat="1">
      <alignment readingOrder="0"/>
    </xf>
    <xf borderId="1" fillId="5" fontId="5" numFmtId="49" xfId="0" applyBorder="1" applyFont="1" applyNumberFormat="1"/>
    <xf borderId="1" fillId="5" fontId="10" numFmtId="49" xfId="0" applyAlignment="1" applyBorder="1" applyFont="1" applyNumberFormat="1">
      <alignment readingOrder="0"/>
    </xf>
    <xf borderId="0" fillId="5" fontId="5" numFmtId="0" xfId="0" applyAlignment="1" applyFont="1">
      <alignment readingOrder="0"/>
    </xf>
    <xf borderId="1" fillId="0" fontId="11" numFmtId="49" xfId="0" applyAlignment="1" applyBorder="1" applyFont="1" applyNumberFormat="1">
      <alignment readingOrder="0" shrinkToFit="0" wrapText="0"/>
    </xf>
    <xf borderId="1" fillId="0" fontId="12" numFmtId="49" xfId="0" applyAlignment="1" applyBorder="1" applyFont="1" applyNumberFormat="1">
      <alignment readingOrder="0" shrinkToFit="0" wrapText="0"/>
    </xf>
    <xf borderId="1" fillId="0" fontId="12" numFmtId="49" xfId="0" applyAlignment="1" applyBorder="1" applyFont="1" applyNumberFormat="1">
      <alignment horizontal="left" readingOrder="0" shrinkToFit="0" wrapText="0"/>
    </xf>
    <xf borderId="1" fillId="0" fontId="13" numFmtId="49" xfId="0" applyAlignment="1" applyBorder="1" applyFont="1" applyNumberFormat="1">
      <alignment readingOrder="0" shrinkToFit="0" wrapText="0"/>
    </xf>
    <xf borderId="4" fillId="0" fontId="14" numFmtId="49" xfId="0" applyAlignment="1" applyBorder="1" applyFont="1" applyNumberForma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2" numFmtId="0" xfId="0" applyFont="1"/>
    <xf borderId="1" fillId="0" fontId="12" numFmtId="0" xfId="0" applyAlignment="1" applyBorder="1" applyFont="1">
      <alignment horizontal="left"/>
    </xf>
    <xf borderId="1" fillId="4" fontId="15" numFmtId="49" xfId="0" applyAlignment="1" applyBorder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5" fontId="16" numFmtId="49" xfId="0" applyAlignment="1" applyBorder="1" applyFont="1" applyNumberFormat="1">
      <alignment readingOrder="0"/>
    </xf>
    <xf borderId="0" fillId="5" fontId="5" numFmtId="0" xfId="0" applyAlignment="1" applyFont="1">
      <alignment readingOrder="0"/>
    </xf>
    <xf borderId="1" fillId="5" fontId="5" numFmtId="49" xfId="0" applyAlignment="1" applyBorder="1" applyFont="1" applyNumberFormat="1">
      <alignment readingOrder="0"/>
    </xf>
    <xf borderId="1" fillId="6" fontId="5" numFmtId="49" xfId="0" applyAlignment="1" applyBorder="1" applyFill="1" applyFont="1" applyNumberFormat="1">
      <alignment horizontal="left" readingOrder="0" vertical="bottom"/>
    </xf>
    <xf borderId="1" fillId="6" fontId="5" numFmtId="0" xfId="0" applyAlignment="1" applyBorder="1" applyFont="1">
      <alignment horizontal="left" readingOrder="0" vertical="bottom"/>
    </xf>
    <xf borderId="1" fillId="6" fontId="5" numFmtId="0" xfId="0" applyAlignment="1" applyBorder="1" applyFont="1">
      <alignment horizontal="left" readingOrder="0" vertical="bottom"/>
    </xf>
    <xf borderId="1" fillId="6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shrinkToFit="0" vertical="bottom" wrapText="0"/>
    </xf>
    <xf borderId="1" fillId="6" fontId="5" numFmtId="49" xfId="0" applyAlignment="1" applyBorder="1" applyFont="1" applyNumberFormat="1">
      <alignment horizontal="left" vertical="bottom"/>
    </xf>
    <xf borderId="1" fillId="6" fontId="17" numFmtId="49" xfId="0" applyAlignment="1" applyBorder="1" applyFont="1" applyNumberFormat="1">
      <alignment horizontal="left" readingOrder="0" vertical="bottom"/>
    </xf>
    <xf borderId="1" fillId="6" fontId="18" numFmtId="49" xfId="0" applyAlignment="1" applyBorder="1" applyFont="1" applyNumberFormat="1">
      <alignment horizontal="left" readingOrder="0" vertical="bottom"/>
    </xf>
    <xf borderId="0" fillId="6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left" readingOrder="0" shrinkToFit="0" vertical="bottom" wrapText="0"/>
    </xf>
    <xf borderId="1" fillId="6" fontId="19" numFmtId="0" xfId="0" applyAlignment="1" applyBorder="1" applyFont="1">
      <alignment readingOrder="0" shrinkToFit="0" vertical="bottom" wrapText="0"/>
    </xf>
    <xf borderId="1" fillId="6" fontId="19" numFmtId="0" xfId="0" applyAlignment="1" applyBorder="1" applyFont="1">
      <alignment horizontal="left" readingOrder="0" shrinkToFit="0" vertical="bottom" wrapText="0"/>
    </xf>
    <xf borderId="1" fillId="4" fontId="5" numFmtId="49" xfId="0" applyAlignment="1" applyBorder="1" applyFont="1" applyNumberFormat="1">
      <alignment horizontal="left" readingOrder="0" vertical="bottom"/>
    </xf>
    <xf borderId="1" fillId="4" fontId="5" numFmtId="0" xfId="0" applyAlignment="1" applyBorder="1" applyFont="1">
      <alignment horizontal="left" readingOrder="0" vertical="bottom"/>
    </xf>
    <xf borderId="1" fillId="4" fontId="5" numFmtId="0" xfId="0" applyAlignment="1" applyBorder="1" applyFont="1">
      <alignment horizontal="left" readingOrder="0" vertical="bottom"/>
    </xf>
    <xf borderId="1" fillId="4" fontId="5" numFmtId="49" xfId="0" applyAlignment="1" applyBorder="1" applyFont="1" applyNumberFormat="1">
      <alignment horizontal="left" vertical="bottom"/>
    </xf>
    <xf borderId="1" fillId="4" fontId="20" numFmtId="49" xfId="0" applyAlignment="1" applyBorder="1" applyFont="1" applyNumberFormat="1">
      <alignment horizontal="left" readingOrder="0" vertical="bottom"/>
    </xf>
    <xf borderId="1" fillId="4" fontId="21" numFmtId="49" xfId="0" applyAlignment="1" applyBorder="1" applyFont="1" applyNumberFormat="1">
      <alignment horizontal="left" readingOrder="0" vertical="bottom"/>
    </xf>
    <xf borderId="0" fillId="4" fontId="5" numFmtId="0" xfId="0" applyAlignment="1" applyFont="1">
      <alignment vertical="bottom"/>
    </xf>
    <xf borderId="1" fillId="4" fontId="5" numFmtId="0" xfId="0" applyAlignment="1" applyBorder="1" applyFont="1">
      <alignment horizontal="left" vertical="bottom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5" fillId="7" fontId="3" numFmtId="49" xfId="0" applyAlignment="1" applyBorder="1" applyFill="1" applyFont="1" applyNumberFormat="1">
      <alignment horizontal="center" readingOrder="0" shrinkToFit="0" vertical="center" wrapText="0"/>
    </xf>
    <xf borderId="0" fillId="5" fontId="22" numFmtId="0" xfId="0" applyAlignment="1" applyFont="1">
      <alignment readingOrder="0"/>
    </xf>
    <xf borderId="6" fillId="0" fontId="9" numFmtId="0" xfId="0" applyBorder="1" applyFont="1"/>
    <xf borderId="0" fillId="5" fontId="5" numFmtId="0" xfId="0" applyFont="1"/>
    <xf borderId="0" fillId="4" fontId="5" numFmtId="0" xfId="0" applyFont="1"/>
    <xf borderId="7" fillId="0" fontId="9" numFmtId="0" xfId="0" applyBorder="1" applyFont="1"/>
    <xf borderId="0" fillId="4" fontId="5" numFmtId="49" xfId="0" applyFont="1" applyNumberFormat="1"/>
    <xf borderId="1" fillId="4" fontId="19" numFmtId="49" xfId="0" applyBorder="1" applyFont="1" applyNumberFormat="1"/>
    <xf borderId="1" fillId="0" fontId="6" numFmtId="0" xfId="0" applyAlignment="1" applyBorder="1" applyFont="1">
      <alignment horizontal="left"/>
    </xf>
    <xf borderId="5" fillId="8" fontId="3" numFmtId="49" xfId="0" applyAlignment="1" applyBorder="1" applyFill="1" applyFont="1" applyNumberFormat="1">
      <alignment horizontal="center" readingOrder="0" shrinkToFit="0" vertical="center" wrapText="0"/>
    </xf>
    <xf borderId="1" fillId="5" fontId="19" numFmtId="49" xfId="0" applyAlignment="1" applyBorder="1" applyFont="1" applyNumberFormat="1">
      <alignment readingOrder="0"/>
    </xf>
    <xf borderId="1" fillId="4" fontId="19" numFmtId="49" xfId="0" applyAlignment="1" applyBorder="1" applyFont="1" applyNumberFormat="1">
      <alignment readingOrder="0"/>
    </xf>
    <xf borderId="1" fillId="4" fontId="5" numFmtId="49" xfId="0" applyAlignment="1" applyBorder="1" applyFont="1" applyNumberFormat="1">
      <alignment readingOrder="0"/>
    </xf>
    <xf borderId="5" fillId="5" fontId="19" numFmtId="49" xfId="0" applyAlignment="1" applyBorder="1" applyFont="1" applyNumberFormat="1">
      <alignment readingOrder="0"/>
    </xf>
    <xf borderId="5" fillId="5" fontId="5" numFmtId="49" xfId="0" applyBorder="1" applyFont="1" applyNumberFormat="1"/>
    <xf borderId="5" fillId="0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/>
    </xf>
    <xf borderId="5" fillId="0" fontId="6" numFmtId="0" xfId="0" applyAlignment="1" applyBorder="1" applyFont="1">
      <alignment readingOrder="0" shrinkToFit="0" wrapText="0"/>
    </xf>
    <xf borderId="8" fillId="4" fontId="19" numFmtId="49" xfId="0" applyBorder="1" applyFont="1" applyNumberFormat="1"/>
    <xf borderId="8" fillId="4" fontId="5" numFmtId="49" xfId="0" applyBorder="1" applyFont="1" applyNumberFormat="1"/>
    <xf borderId="8" fillId="0" fontId="6" numFmtId="0" xfId="0" applyAlignment="1" applyBorder="1" applyFont="1">
      <alignment horizontal="left"/>
    </xf>
    <xf borderId="8" fillId="0" fontId="6" numFmtId="0" xfId="0" applyAlignment="1" applyBorder="1" applyFont="1">
      <alignment horizontal="left"/>
    </xf>
    <xf borderId="8" fillId="0" fontId="6" numFmtId="0" xfId="0" applyAlignment="1" applyBorder="1" applyFont="1">
      <alignment readingOrder="0" shrinkToFit="0" wrapText="0"/>
    </xf>
    <xf borderId="0" fillId="0" fontId="5" numFmtId="49" xfId="0" applyFont="1" applyNumberFormat="1"/>
    <xf borderId="0" fillId="0" fontId="19" numFmtId="49" xfId="0" applyFont="1" applyNumberFormat="1"/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/>
    </xf>
    <xf borderId="5" fillId="9" fontId="2" numFmtId="0" xfId="0" applyAlignment="1" applyBorder="1" applyFill="1" applyFont="1">
      <alignment readingOrder="0"/>
    </xf>
    <xf borderId="7" fillId="9" fontId="6" numFmtId="0" xfId="0" applyAlignment="1" applyBorder="1" applyFont="1">
      <alignment horizontal="left"/>
    </xf>
    <xf borderId="0" fillId="0" fontId="6" numFmtId="0" xfId="0" applyAlignment="1" applyFont="1">
      <alignment readingOrder="0"/>
    </xf>
    <xf borderId="0" fillId="0" fontId="12" numFmtId="49" xfId="0" applyAlignment="1" applyFont="1" applyNumberFormat="1">
      <alignment readingOrder="0" shrinkToFit="0" wrapText="0"/>
    </xf>
    <xf borderId="1" fillId="0" fontId="12" numFmtId="0" xfId="0" applyAlignment="1" applyBorder="1" applyFont="1">
      <alignment readingOrder="0" shrinkToFit="0" wrapText="0"/>
    </xf>
    <xf borderId="1" fillId="0" fontId="23" numFmtId="49" xfId="0" applyAlignment="1" applyBorder="1" applyFont="1" applyNumberFormat="1">
      <alignment readingOrder="0" shrinkToFit="0" wrapText="0"/>
    </xf>
    <xf borderId="1" fillId="0" fontId="24" numFmtId="49" xfId="0" applyAlignment="1" applyBorder="1" applyFont="1" applyNumberFormat="1">
      <alignment readingOrder="0" shrinkToFit="0" wrapText="0"/>
    </xf>
    <xf borderId="1" fillId="0" fontId="11" numFmtId="49" xfId="0" applyAlignment="1" applyBorder="1" applyFont="1" applyNumberFormat="1">
      <alignment readingOrder="0" shrinkToFit="0" wrapText="0"/>
    </xf>
    <xf borderId="4" fillId="0" fontId="25" numFmtId="49" xfId="0" applyAlignment="1" applyBorder="1" applyFont="1" applyNumberFormat="1">
      <alignment readingOrder="0" shrinkToFit="0" wrapText="0"/>
    </xf>
    <xf borderId="0" fillId="0" fontId="26" numFmtId="0" xfId="0" applyAlignment="1" applyFont="1">
      <alignment readingOrder="0"/>
    </xf>
    <xf borderId="0" fillId="0" fontId="3" numFmtId="49" xfId="0" applyAlignment="1" applyFont="1" applyNumberFormat="1">
      <alignment horizontal="center" readingOrder="0" shrinkToFit="0" vertical="center" wrapText="0"/>
    </xf>
    <xf borderId="9" fillId="0" fontId="4" numFmtId="0" xfId="0" applyAlignment="1" applyBorder="1" applyFont="1">
      <alignment readingOrder="0" shrinkToFit="0" wrapText="0"/>
    </xf>
    <xf borderId="1" fillId="5" fontId="27" numFmtId="49" xfId="0" applyAlignment="1" applyBorder="1" applyFont="1" applyNumberFormat="1">
      <alignment readingOrder="0" shrinkToFit="0" wrapText="0"/>
    </xf>
    <xf borderId="0" fillId="0" fontId="5" numFmtId="49" xfId="0" applyAlignment="1" applyFont="1" applyNumberFormat="1">
      <alignment vertical="bottom"/>
    </xf>
    <xf borderId="1" fillId="4" fontId="19" numFmtId="49" xfId="0" applyAlignment="1" applyBorder="1" applyFont="1" applyNumberFormat="1">
      <alignment readingOrder="0" shrinkToFit="0" vertical="bottom" wrapText="0"/>
    </xf>
    <xf borderId="1" fillId="4" fontId="5" numFmtId="49" xfId="0" applyAlignment="1" applyBorder="1" applyFont="1" applyNumberFormat="1">
      <alignment shrinkToFit="0" vertical="bottom" wrapText="0"/>
    </xf>
    <xf borderId="4" fillId="4" fontId="28" numFmtId="49" xfId="0" applyAlignment="1" applyBorder="1" applyFont="1" applyNumberFormat="1">
      <alignment shrinkToFit="0" vertical="bottom" wrapText="0"/>
    </xf>
    <xf borderId="0" fillId="4" fontId="5" numFmtId="0" xfId="0" applyAlignment="1" applyFont="1">
      <alignment vertical="bottom"/>
    </xf>
    <xf borderId="0" fillId="0" fontId="29" numFmtId="49" xfId="0" applyAlignment="1" applyFont="1" applyNumberFormat="1">
      <alignment readingOrder="0" shrinkToFit="0" wrapText="0"/>
    </xf>
    <xf borderId="1" fillId="0" fontId="30" numFmtId="49" xfId="0" applyAlignment="1" applyBorder="1" applyFont="1" applyNumberFormat="1">
      <alignment readingOrder="0" shrinkToFit="0" wrapText="0"/>
    </xf>
    <xf borderId="1" fillId="0" fontId="29" numFmtId="49" xfId="0" applyAlignment="1" applyBorder="1" applyFont="1" applyNumberFormat="1">
      <alignment readingOrder="0" shrinkToFit="0" wrapText="0"/>
    </xf>
    <xf borderId="1" fillId="0" fontId="29" numFmtId="49" xfId="0" applyAlignment="1" applyBorder="1" applyFont="1" applyNumberFormat="1">
      <alignment horizontal="left" readingOrder="0" shrinkToFit="0" wrapText="0"/>
    </xf>
    <xf borderId="1" fillId="0" fontId="29" numFmtId="0" xfId="0" applyAlignment="1" applyBorder="1" applyFont="1">
      <alignment horizontal="left" readingOrder="0"/>
    </xf>
    <xf borderId="1" fillId="0" fontId="29" numFmtId="0" xfId="0" applyAlignment="1" applyBorder="1" applyFont="1">
      <alignment horizontal="left"/>
    </xf>
    <xf borderId="1" fillId="0" fontId="31" numFmtId="0" xfId="0" applyAlignment="1" applyBorder="1" applyFont="1">
      <alignment shrinkToFit="0" vertical="bottom" wrapText="0"/>
    </xf>
    <xf borderId="1" fillId="0" fontId="32" numFmtId="49" xfId="0" applyAlignment="1" applyBorder="1" applyFont="1" applyNumberFormat="1">
      <alignment readingOrder="0" shrinkToFit="0" wrapText="0"/>
    </xf>
    <xf borderId="1" fillId="0" fontId="32" numFmtId="49" xfId="0" applyAlignment="1" applyBorder="1" applyFont="1" applyNumberFormat="1">
      <alignment readingOrder="0" shrinkToFit="0" wrapText="0"/>
    </xf>
    <xf borderId="0" fillId="0" fontId="29" numFmtId="0" xfId="0" applyAlignment="1" applyFont="1">
      <alignment readingOrder="0" shrinkToFit="0" wrapText="0"/>
    </xf>
    <xf borderId="0" fillId="0" fontId="29" numFmtId="0" xfId="0" applyFont="1"/>
    <xf borderId="0" fillId="0" fontId="33" numFmtId="49" xfId="0" applyAlignment="1" applyFont="1" applyNumberFormat="1">
      <alignment horizontal="center" readingOrder="0" shrinkToFit="0" vertical="center" wrapText="0"/>
    </xf>
    <xf borderId="1" fillId="0" fontId="34" numFmtId="49" xfId="0" applyAlignment="1" applyBorder="1" applyFont="1" applyNumberFormat="1">
      <alignment readingOrder="0" shrinkToFit="0" wrapText="0"/>
    </xf>
    <xf borderId="1" fillId="0" fontId="35" numFmtId="0" xfId="0" applyAlignment="1" applyBorder="1" applyFont="1">
      <alignment horizontal="left"/>
    </xf>
    <xf borderId="0" fillId="0" fontId="29" numFmtId="0" xfId="0" applyAlignment="1" applyFont="1">
      <alignment readingOrder="0" shrinkToFit="0" wrapText="0"/>
    </xf>
    <xf borderId="0" fillId="0" fontId="29" numFmtId="49" xfId="0" applyAlignment="1" applyFont="1" applyNumberFormat="1">
      <alignment readingOrder="0" shrinkToFit="0" wrapText="0"/>
    </xf>
    <xf borderId="0" fillId="0" fontId="32" numFmtId="49" xfId="0" applyAlignment="1" applyFont="1" applyNumberFormat="1">
      <alignment readingOrder="0" shrinkToFit="0" wrapText="0"/>
    </xf>
    <xf borderId="0" fillId="0" fontId="32" numFmtId="49" xfId="0" applyAlignment="1" applyFont="1" applyNumberFormat="1">
      <alignment readingOrder="0" shrinkToFit="0" wrapText="0"/>
    </xf>
    <xf borderId="3" fillId="0" fontId="3" numFmtId="49" xfId="0" applyAlignment="1" applyBorder="1" applyFont="1" applyNumberFormat="1">
      <alignment horizontal="center" readingOrder="0" shrinkToFit="0" vertical="center" wrapText="0"/>
    </xf>
    <xf borderId="1" fillId="0" fontId="29" numFmtId="0" xfId="0" applyAlignment="1" applyBorder="1" applyFont="1">
      <alignment readingOrder="0" shrinkToFit="0" wrapText="0"/>
    </xf>
    <xf borderId="1" fillId="0" fontId="36" numFmtId="49" xfId="0" applyAlignment="1" applyBorder="1" applyFont="1" applyNumberFormat="1">
      <alignment readingOrder="0" shrinkToFit="0" wrapText="0"/>
    </xf>
    <xf borderId="4" fillId="0" fontId="37" numFmtId="49" xfId="0" applyAlignment="1" applyBorder="1" applyFont="1" applyNumberFormat="1">
      <alignment readingOrder="0" shrinkToFit="0" wrapText="0"/>
    </xf>
    <xf borderId="0" fillId="0" fontId="11" numFmtId="49" xfId="0" applyAlignment="1" applyFont="1" applyNumberFormat="1">
      <alignment readingOrder="0" shrinkToFit="0" wrapText="0"/>
    </xf>
    <xf borderId="0" fillId="0" fontId="12" numFmtId="49" xfId="0" applyAlignment="1" applyFont="1" applyNumberFormat="1">
      <alignment readingOrder="0" shrinkToFit="0" wrapText="0"/>
    </xf>
    <xf borderId="0" fillId="0" fontId="12" numFmtId="49" xfId="0" applyAlignment="1" applyFont="1" applyNumberFormat="1">
      <alignment horizontal="left" readingOrder="0" shrinkToFit="0" wrapText="0"/>
    </xf>
    <xf borderId="0" fillId="0" fontId="12" numFmtId="0" xfId="0" applyAlignment="1" applyFont="1">
      <alignment readingOrder="0" shrinkToFit="0" wrapText="0"/>
    </xf>
    <xf borderId="0" fillId="0" fontId="38" numFmtId="49" xfId="0" applyAlignment="1" applyFont="1" applyNumberFormat="1">
      <alignment readingOrder="0" shrinkToFit="0" wrapText="0"/>
    </xf>
    <xf borderId="0" fillId="0" fontId="39" numFmtId="49" xfId="0" applyAlignment="1" applyFont="1" applyNumberFormat="1">
      <alignment readingOrder="0" shrinkToFit="0" wrapText="0"/>
    </xf>
    <xf borderId="0" fillId="4" fontId="40" numFmtId="49" xfId="0" applyAlignment="1" applyFont="1" applyNumberFormat="1">
      <alignment horizontal="left" readingOrder="0" shrinkToFit="0" wrapText="0"/>
    </xf>
    <xf borderId="10" fillId="10" fontId="41" numFmtId="0" xfId="0" applyAlignment="1" applyBorder="1" applyFill="1" applyFont="1">
      <alignment horizontal="left" readingOrder="0" shrinkToFit="0" vertical="center" wrapText="1"/>
    </xf>
    <xf borderId="11" fillId="11" fontId="41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1" fillId="4" fontId="5" numFmtId="49" xfId="0" applyAlignment="1" applyBorder="1" applyFont="1" applyNumberForma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5" fontId="5" numFmtId="49" xfId="0" applyAlignment="1" applyBorder="1" applyFont="1" applyNumberFormat="1">
      <alignment shrinkToFit="0" vertical="center" wrapText="0"/>
    </xf>
    <xf borderId="1" fillId="0" fontId="6" numFmtId="49" xfId="0" applyAlignment="1" applyBorder="1" applyFont="1" applyNumberForma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12" fontId="5" numFmtId="0" xfId="0" applyAlignment="1" applyBorder="1" applyFill="1" applyFont="1">
      <alignment shrinkToFit="0" vertical="center" wrapText="0"/>
    </xf>
    <xf borderId="1" fillId="13" fontId="5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9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shrinkToFit="0" vertical="center" wrapText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8DBDE"/>
          <bgColor rgb="FFD8DBDE"/>
        </patternFill>
      </fill>
      <border/>
    </dxf>
    <dxf>
      <border>
        <left style="thin">
          <color rgb="FF990000"/>
        </left>
        <right style="thin">
          <color rgb="FF990000"/>
        </right>
        <top style="thin">
          <color rgb="FF990000"/>
        </top>
        <bottom style="thin">
          <color rgb="FF990000"/>
        </bottom>
      </border>
    </dxf>
  </dxfs>
  <tableStyles count="5">
    <tableStyle count="3" pivot="0" name="BOM-style">
      <tableStyleElement dxfId="1" type="headerRow"/>
      <tableStyleElement dxfId="2" type="firstRowStripe"/>
      <tableStyleElement dxfId="3" type="secondRowStripe"/>
    </tableStyle>
    <tableStyle count="2" pivot="0" name="BOM-style 2">
      <tableStyleElement dxfId="3" type="firstRowStripe"/>
      <tableStyleElement dxfId="2" type="secondRowStripe"/>
    </tableStyle>
    <tableStyle count="3" pivot="0" name="Sheet12-style">
      <tableStyleElement dxfId="1" type="headerRow"/>
      <tableStyleElement dxfId="2" type="firstRowStripe"/>
      <tableStyleElement dxfId="3" type="secondRowStripe"/>
    </tableStyle>
    <tableStyle count="2" pivot="0" name="Sheet12-style 2">
      <tableStyleElement dxfId="3" type="firstRowStripe"/>
      <tableStyleElement dxfId="2" type="secondRowStripe"/>
    </tableStyle>
    <tableStyle count="5" pivot="0" name="Template-style">
      <tableStyleElement dxfId="4" type="headerRow"/>
      <tableStyleElement dxfId="2" type="firstRowStripe"/>
      <tableStyleElement dxfId="5" type="secondRowStripe"/>
      <tableStyleElement dxfId="6" type="totalRow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:M4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56:M62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M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:M41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56:M62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12-style 2" showColumnStripes="0" showFirstColumn="1" showLastColumn="1" showRowStripes="1"/>
</table>
</file>

<file path=xl/tables/table5.xml><?xml version="1.0" encoding="utf-8"?>
<table xmlns="http://schemas.openxmlformats.org/spreadsheetml/2006/main" totalsRowCount="1" ref="A1:G15" displayName="BOM_3" name="BOM_3" id="5">
  <tableColumns count="7">
    <tableColumn name="Order" id="1"/>
    <tableColumn name="Link" id="2"/>
    <tableColumn name="Count" id="3"/>
    <tableColumn totalsRowFunction="custom" name="Cost per Count" id="4"/>
    <tableColumn totalsRowFunction="custom" name="Total Cost" id="5"/>
    <tableColumn name="Status" id="6"/>
    <tableColumn name="Notes" id="7"/>
  </tableColumns>
  <tableStyleInfo name="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earch.murata.co.jp/Ceramy/image/img/A01X/G101/ENG/GRM188R61E475KE11-01.pdf" TargetMode="External"/><Relationship Id="rId42" Type="http://schemas.openxmlformats.org/officeDocument/2006/relationships/hyperlink" Target="https://www.rubycon.co.jp/wp-content/uploads/catalog-aluminum/YXJ.pdf" TargetMode="External"/><Relationship Id="rId41" Type="http://schemas.openxmlformats.org/officeDocument/2006/relationships/hyperlink" Target="https://www.digikey.com/short/m4nh0t4v" TargetMode="External"/><Relationship Id="rId44" Type="http://schemas.openxmlformats.org/officeDocument/2006/relationships/hyperlink" Target="https://industrial.panasonic.com/cdbs/www-data/pdf/RDA0000/AOA0000C301.pdf" TargetMode="External"/><Relationship Id="rId43" Type="http://schemas.openxmlformats.org/officeDocument/2006/relationships/hyperlink" Target="https://www.digikey.com/short/cvdz3p45" TargetMode="External"/><Relationship Id="rId46" Type="http://schemas.openxmlformats.org/officeDocument/2006/relationships/hyperlink" Target="https://www.yageo.com/upload/media/product/products/datasheet/rchip/PYu-RC_Group_51_RoHS_L_12.pdf" TargetMode="External"/><Relationship Id="rId45" Type="http://schemas.openxmlformats.org/officeDocument/2006/relationships/hyperlink" Target="https://www.digikey.com/short/52hjjmzj" TargetMode="External"/><Relationship Id="rId48" Type="http://schemas.openxmlformats.org/officeDocument/2006/relationships/hyperlink" Target="https://www.yageogroup.com/content/datasheet/asset/file/PYU-RT_1-TO-0-01_ROHS_L" TargetMode="External"/><Relationship Id="rId47" Type="http://schemas.openxmlformats.org/officeDocument/2006/relationships/hyperlink" Target="https://www.digikey.com/short/vdddtf3m" TargetMode="External"/><Relationship Id="rId49" Type="http://schemas.openxmlformats.org/officeDocument/2006/relationships/hyperlink" Target="https://www.digikey.com/short/tjnqbzwq" TargetMode="External"/><Relationship Id="rId101" Type="http://schemas.openxmlformats.org/officeDocument/2006/relationships/table" Target="../tables/table2.xml"/><Relationship Id="rId100" Type="http://schemas.openxmlformats.org/officeDocument/2006/relationships/table" Target="../tables/table1.xml"/><Relationship Id="rId31" Type="http://schemas.openxmlformats.org/officeDocument/2006/relationships/hyperlink" Target="https://www.digikey.com/short/bq453dtn" TargetMode="External"/><Relationship Id="rId30" Type="http://schemas.openxmlformats.org/officeDocument/2006/relationships/hyperlink" Target="https://www.ti.com/lit/ds/symlink/lm1085.pdf" TargetMode="External"/><Relationship Id="rId33" Type="http://schemas.openxmlformats.org/officeDocument/2006/relationships/hyperlink" Target="https://www.digikey.com/short/7zt9p85r" TargetMode="External"/><Relationship Id="rId32" Type="http://schemas.openxmlformats.org/officeDocument/2006/relationships/hyperlink" Target="https://www.yageogroup.com/content/datasheet/asset/file/KEM_C1002_X7R_SMD" TargetMode="External"/><Relationship Id="rId35" Type="http://schemas.openxmlformats.org/officeDocument/2006/relationships/hyperlink" Target="https://www.digikey.com/short/f93t7b49" TargetMode="External"/><Relationship Id="rId34" Type="http://schemas.openxmlformats.org/officeDocument/2006/relationships/hyperlink" Target="https://weblib.samsungsem.com/mlcc/mlcc-ec-data-sheet.do?partNumber=CL05Y105KP6VPN" TargetMode="External"/><Relationship Id="rId37" Type="http://schemas.openxmlformats.org/officeDocument/2006/relationships/hyperlink" Target="https://www.digikey.com/short/rmr598h3" TargetMode="External"/><Relationship Id="rId36" Type="http://schemas.openxmlformats.org/officeDocument/2006/relationships/hyperlink" Target="https://mm.digikey.com/Volume0/opasdata/d220001/medias/docus/421/CL10A225KO8NNNC_Spec.pdf" TargetMode="External"/><Relationship Id="rId39" Type="http://schemas.openxmlformats.org/officeDocument/2006/relationships/hyperlink" Target="https://www.digikey.com/short/bqb93zpw" TargetMode="External"/><Relationship Id="rId38" Type="http://schemas.openxmlformats.org/officeDocument/2006/relationships/hyperlink" Target="https://datasheets.kyocera-avx.com/TAJ.pdf" TargetMode="External"/><Relationship Id="rId20" Type="http://schemas.openxmlformats.org/officeDocument/2006/relationships/hyperlink" Target="https://www.ti.com/general/docs/suppproductinfo.tsp?distId=10&amp;gotoUrl=https%3A%2F%2Fwww.ti.com%2Flit%2Fgpn%2Fucc27524" TargetMode="External"/><Relationship Id="rId22" Type="http://schemas.openxmlformats.org/officeDocument/2006/relationships/hyperlink" Target="https://www.diodes.com/assets/Datasheets/ZXMHC3F381N8.pdf" TargetMode="External"/><Relationship Id="rId21" Type="http://schemas.openxmlformats.org/officeDocument/2006/relationships/hyperlink" Target="https://www.digikey.com/short/t558799t" TargetMode="External"/><Relationship Id="rId24" Type="http://schemas.openxmlformats.org/officeDocument/2006/relationships/hyperlink" Target="https://mm.digikey.com/Volume0/opasdata/d220001/medias/docus/544/B1501UY--20D001913U1930.pdf" TargetMode="External"/><Relationship Id="rId23" Type="http://schemas.openxmlformats.org/officeDocument/2006/relationships/hyperlink" Target="https://www.digikey.com/short/t550nvpn" TargetMode="External"/><Relationship Id="rId26" Type="http://schemas.openxmlformats.org/officeDocument/2006/relationships/hyperlink" Target="https://www.onsemi.com/pdf/datasheet/mc78lc00-d.pdf" TargetMode="External"/><Relationship Id="rId25" Type="http://schemas.openxmlformats.org/officeDocument/2006/relationships/hyperlink" Target="https://www.digikey.com/short/3zfbp3h8" TargetMode="External"/><Relationship Id="rId28" Type="http://schemas.openxmlformats.org/officeDocument/2006/relationships/hyperlink" Target="https://www.diodes.com/assets/Datasheets/AP2210.pdf" TargetMode="External"/><Relationship Id="rId27" Type="http://schemas.openxmlformats.org/officeDocument/2006/relationships/hyperlink" Target="https://www.digikey.com/short/5wrhmztf" TargetMode="External"/><Relationship Id="rId29" Type="http://schemas.openxmlformats.org/officeDocument/2006/relationships/hyperlink" Target="https://www.digikey.com/short/f0f7whp5" TargetMode="External"/><Relationship Id="rId95" Type="http://schemas.openxmlformats.org/officeDocument/2006/relationships/hyperlink" Target="https://www.digikey.com/short/tjn285hm" TargetMode="External"/><Relationship Id="rId94" Type="http://schemas.openxmlformats.org/officeDocument/2006/relationships/hyperlink" Target="https://mm.digikey.com/Volume0/opasdata/d220001/medias/docus/5734/FSP201_v1.4_Oct2023.pdf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mm.digikey.com/Volume0/opasdata/d220001/medias/docus/1256/CL31B104KBCNNNC_Spec.pdf" TargetMode="External"/><Relationship Id="rId11" Type="http://schemas.openxmlformats.org/officeDocument/2006/relationships/hyperlink" Target="https://www.digikey.com/short/bnrh49nr" TargetMode="External"/><Relationship Id="rId10" Type="http://schemas.openxmlformats.org/officeDocument/2006/relationships/hyperlink" Target="https://www.st.com/resource/en/datasheet/stm32h503eb.pdf" TargetMode="External"/><Relationship Id="rId13" Type="http://schemas.openxmlformats.org/officeDocument/2006/relationships/hyperlink" Target="https://www.digikey.com/short/0j78n5mz" TargetMode="External"/><Relationship Id="rId12" Type="http://schemas.openxmlformats.org/officeDocument/2006/relationships/hyperlink" Target="https://mm.digikey.com/Volume0/opasdata/d220001/medias/docus/6130/1655.pdf" TargetMode="External"/><Relationship Id="rId91" Type="http://schemas.openxmlformats.org/officeDocument/2006/relationships/hyperlink" Target="https://www.digikey.com/short/w58r3f41" TargetMode="External"/><Relationship Id="rId90" Type="http://schemas.openxmlformats.org/officeDocument/2006/relationships/hyperlink" Target="https://mm.digikey.com/Volume0/opasdata/d220001/medias/docus/6379/JST.Suffix.Prefix.chart.06.01.23%20%283%29.pdf" TargetMode="External"/><Relationship Id="rId93" Type="http://schemas.openxmlformats.org/officeDocument/2006/relationships/hyperlink" Target="https://www.digikey.com/short/0mfwnmv1" TargetMode="External"/><Relationship Id="rId92" Type="http://schemas.openxmlformats.org/officeDocument/2006/relationships/hyperlink" Target="https://invensense.tdk.com/wp-content/uploads/2020/06/PS-MPU-6500A-01-v1.3.pdf" TargetMode="External"/><Relationship Id="rId15" Type="http://schemas.openxmlformats.org/officeDocument/2006/relationships/hyperlink" Target="https://www.digikey.com/short/3vjdjwpw" TargetMode="External"/><Relationship Id="rId14" Type="http://schemas.openxmlformats.org/officeDocument/2006/relationships/hyperlink" Target="https://invensense.tdk.com/wp-content/uploads/2024/03/DS-000189-ICM-20948-v1.6.pdf" TargetMode="External"/><Relationship Id="rId17" Type="http://schemas.openxmlformats.org/officeDocument/2006/relationships/hyperlink" Target="https://www.digikey.com/short/r792247f" TargetMode="External"/><Relationship Id="rId16" Type="http://schemas.openxmlformats.org/officeDocument/2006/relationships/hyperlink" Target="https://www.sameskydevices.com/product/resource/slw-105558-2a-n-d.pdf" TargetMode="External"/><Relationship Id="rId19" Type="http://schemas.openxmlformats.org/officeDocument/2006/relationships/hyperlink" Target="https://www.digikey.com/short/rztp78f9" TargetMode="External"/><Relationship Id="rId18" Type="http://schemas.openxmlformats.org/officeDocument/2006/relationships/hyperlink" Target="https://www.soberton.com/wp-content/uploads/2022/03/PT-1306T.pdf" TargetMode="External"/><Relationship Id="rId84" Type="http://schemas.openxmlformats.org/officeDocument/2006/relationships/hyperlink" Target="https://www.st.com/resource/en/datasheet/stm32h503eb.pdf" TargetMode="External"/><Relationship Id="rId83" Type="http://schemas.openxmlformats.org/officeDocument/2006/relationships/hyperlink" Target="https://www.digikey.com/short/qp30cv5p" TargetMode="External"/><Relationship Id="rId86" Type="http://schemas.openxmlformats.org/officeDocument/2006/relationships/hyperlink" Target="https://www.st.com/resource/en/datasheet/stm32f410cb.pdf" TargetMode="External"/><Relationship Id="rId85" Type="http://schemas.openxmlformats.org/officeDocument/2006/relationships/hyperlink" Target="https://www.digikey.com/short/zjd7vrbw" TargetMode="External"/><Relationship Id="rId88" Type="http://schemas.openxmlformats.org/officeDocument/2006/relationships/hyperlink" Target="https://mm.digikey.com/Volume0/opasdata/d220001/medias/docus/5734/FSP201_v1.4_Oct2023.pdf" TargetMode="External"/><Relationship Id="rId87" Type="http://schemas.openxmlformats.org/officeDocument/2006/relationships/hyperlink" Target="https://www.digikey.com/short/0mfwnmv1" TargetMode="External"/><Relationship Id="rId89" Type="http://schemas.openxmlformats.org/officeDocument/2006/relationships/hyperlink" Target="https://www.digikey.com/short/vj5hcfjb" TargetMode="External"/><Relationship Id="rId80" Type="http://schemas.openxmlformats.org/officeDocument/2006/relationships/hyperlink" Target="https://www.we-online.com/components/products/datasheet/150352M173300.pdf" TargetMode="External"/><Relationship Id="rId82" Type="http://schemas.openxmlformats.org/officeDocument/2006/relationships/hyperlink" Target="https://cdn.sparkfun.com/datasheets/BreakoutBoards/WS2812B.pdf" TargetMode="External"/><Relationship Id="rId81" Type="http://schemas.openxmlformats.org/officeDocument/2006/relationships/hyperlink" Target="https://www.digikey.com/short/dr08089r" TargetMode="External"/><Relationship Id="rId1" Type="http://schemas.openxmlformats.org/officeDocument/2006/relationships/hyperlink" Target="https://www.digikey.com/short/p79947wh" TargetMode="External"/><Relationship Id="rId2" Type="http://schemas.openxmlformats.org/officeDocument/2006/relationships/hyperlink" Target="https://look.ams-osram.com/m/3456970c8eccd2cb/original/SFH-4545.pdf" TargetMode="External"/><Relationship Id="rId3" Type="http://schemas.openxmlformats.org/officeDocument/2006/relationships/hyperlink" Target="https://www.digikey.com/short/tznrt051" TargetMode="External"/><Relationship Id="rId4" Type="http://schemas.openxmlformats.org/officeDocument/2006/relationships/hyperlink" Target="https://www.vishay.com/docs/81549/teft4300.pdf" TargetMode="External"/><Relationship Id="rId9" Type="http://schemas.openxmlformats.org/officeDocument/2006/relationships/hyperlink" Target="https://www.digikey.com/short/ddcf4p0p" TargetMode="External"/><Relationship Id="rId5" Type="http://schemas.openxmlformats.org/officeDocument/2006/relationships/hyperlink" Target="https://www.digikey.com/short/jj7zfb9v" TargetMode="External"/><Relationship Id="rId6" Type="http://schemas.openxmlformats.org/officeDocument/2006/relationships/hyperlink" Target="https://toshiba.semicon-storage.com/info/SSM3K335R_datasheet_en_20250321.pdf?did=13020&amp;prodName=SSM3K335R" TargetMode="External"/><Relationship Id="rId7" Type="http://schemas.openxmlformats.org/officeDocument/2006/relationships/hyperlink" Target="https://www.digikey.com/short/7rzcn2wm" TargetMode="External"/><Relationship Id="rId8" Type="http://schemas.openxmlformats.org/officeDocument/2006/relationships/hyperlink" Target="https://www.jst-mfg.com/product/pdf/eng/eSH.pdf" TargetMode="External"/><Relationship Id="rId73" Type="http://schemas.openxmlformats.org/officeDocument/2006/relationships/hyperlink" Target="https://www.digikey.com/short/2393prhp" TargetMode="External"/><Relationship Id="rId72" Type="http://schemas.openxmlformats.org/officeDocument/2006/relationships/hyperlink" Target="https://toshiba.semicon-storage.com/info/TC78H660FNG_datasheet_en_20200908.pdf?did=69605&amp;prodName=TC78H660FNG" TargetMode="External"/><Relationship Id="rId75" Type="http://schemas.openxmlformats.org/officeDocument/2006/relationships/hyperlink" Target="https://www.digikey.com/short/m0tqc344" TargetMode="External"/><Relationship Id="rId74" Type="http://schemas.openxmlformats.org/officeDocument/2006/relationships/hyperlink" Target="https://toshiba.semicon-storage.com/info/TB6552FTG_datasheet_en_20170808.pdf?did=16151&amp;prodName=TB6552FTG" TargetMode="External"/><Relationship Id="rId77" Type="http://schemas.openxmlformats.org/officeDocument/2006/relationships/hyperlink" Target="https://www.digikey.com/short/83prqqdc" TargetMode="External"/><Relationship Id="rId76" Type="http://schemas.openxmlformats.org/officeDocument/2006/relationships/hyperlink" Target="https://toshiba.semicon-storage.com/info/TB6552FTG_datasheet_en_20170808.pdf?did=16151&amp;prodName=TB6552FTG" TargetMode="External"/><Relationship Id="rId79" Type="http://schemas.openxmlformats.org/officeDocument/2006/relationships/hyperlink" Target="https://www.digikey.com/short/9zdfw1qd" TargetMode="External"/><Relationship Id="rId78" Type="http://schemas.openxmlformats.org/officeDocument/2006/relationships/hyperlink" Target="https://toshiba.semicon-storage.com/info/TC78H653FTG_datasheet_en_20190404.pdf?did=63589&amp;prodName=TC78H653FTG" TargetMode="External"/><Relationship Id="rId71" Type="http://schemas.openxmlformats.org/officeDocument/2006/relationships/hyperlink" Target="https://www.digikey.com/short/jf925bpc" TargetMode="External"/><Relationship Id="rId70" Type="http://schemas.openxmlformats.org/officeDocument/2006/relationships/hyperlink" Target="https://toshiba.semicon-storage.com/info/TC78H660FTG_datasheet_en_20200714.pdf?did=68604&amp;prodName=TC78H660FTG" TargetMode="External"/><Relationship Id="rId62" Type="http://schemas.openxmlformats.org/officeDocument/2006/relationships/hyperlink" Target="https://www.pololu.com/file/0J1708/pololu-wheel-dimensions.pdf" TargetMode="External"/><Relationship Id="rId61" Type="http://schemas.openxmlformats.org/officeDocument/2006/relationships/hyperlink" Target="https://www.pololu.com/product/1087/resources" TargetMode="External"/><Relationship Id="rId64" Type="http://schemas.openxmlformats.org/officeDocument/2006/relationships/hyperlink" Target="https://www.pololu.com/product/989" TargetMode="External"/><Relationship Id="rId63" Type="http://schemas.openxmlformats.org/officeDocument/2006/relationships/hyperlink" Target="https://www.pololu.com/product/4765" TargetMode="External"/><Relationship Id="rId66" Type="http://schemas.openxmlformats.org/officeDocument/2006/relationships/hyperlink" Target="https://www.digikey.com/en/products/detail/stmicroelectronics/L293D/634700?gad_source=1&amp;gad_campaignid=120503595&amp;gbraid=0AAAAADrbLlhK77QQeTpIfqxygZ5EzRb0E&amp;gclid=EAIaIQobChMImJOxib__jQMVrDIIBR3P0SK4EAAYASAAEgI1N_D_BwE&amp;gclsrc=aw.ds" TargetMode="External"/><Relationship Id="rId65" Type="http://schemas.openxmlformats.org/officeDocument/2006/relationships/hyperlink" Target="https://www.amazon.com/Bridgold-16-pin-Stepper-Drivers-Controllers/dp/B07NXTWJV9/ref=sr_1_3?crid=242KTWZMSXNSR&amp;keywords=l293d&amp;qid=1657220711&amp;sprefix=l293%2Caps%2C129&amp;sr=8-3" TargetMode="External"/><Relationship Id="rId68" Type="http://schemas.openxmlformats.org/officeDocument/2006/relationships/hyperlink" Target="https://app.adam-tech.com/products/download/data_sheet/199582/ics-3xx-t-data-sheet.pdf" TargetMode="External"/><Relationship Id="rId67" Type="http://schemas.openxmlformats.org/officeDocument/2006/relationships/hyperlink" Target="https://www.digikey.com/short/tq75273m" TargetMode="External"/><Relationship Id="rId60" Type="http://schemas.openxmlformats.org/officeDocument/2006/relationships/hyperlink" Target="https://www.pololu.com/file/0J1487/pololu-micro-metal-gearmotors-rev-6-1.pdf" TargetMode="External"/><Relationship Id="rId69" Type="http://schemas.openxmlformats.org/officeDocument/2006/relationships/hyperlink" Target="https://www.digikey.com/short/2dbhvjqf" TargetMode="External"/><Relationship Id="rId51" Type="http://schemas.openxmlformats.org/officeDocument/2006/relationships/hyperlink" Target="https://www.digikey.com/short/d0r20hpq" TargetMode="External"/><Relationship Id="rId50" Type="http://schemas.openxmlformats.org/officeDocument/2006/relationships/hyperlink" Target="https://www.yageogroup.com/content/datasheet/asset/file/PYU-RC_GROUP_51_ROHS_L" TargetMode="External"/><Relationship Id="rId53" Type="http://schemas.openxmlformats.org/officeDocument/2006/relationships/hyperlink" Target="https://www.digikey.com/short/5h5nmp1c" TargetMode="External"/><Relationship Id="rId52" Type="http://schemas.openxmlformats.org/officeDocument/2006/relationships/hyperlink" Target="https://www.seielect.com/catalog/SEI-RMCF_RMCP.pdf" TargetMode="External"/><Relationship Id="rId55" Type="http://schemas.openxmlformats.org/officeDocument/2006/relationships/hyperlink" Target="https://www.pololu.com/product/4761" TargetMode="External"/><Relationship Id="rId54" Type="http://schemas.openxmlformats.org/officeDocument/2006/relationships/hyperlink" Target="https://mm.digikey.com/Volume0/opasdata/d220001/medias/docus/610/LB2518T102K_SS.pdf" TargetMode="External"/><Relationship Id="rId57" Type="http://schemas.openxmlformats.org/officeDocument/2006/relationships/hyperlink" Target="https://www.pololu.com/file/0J1718/pololu-4760-4761-schematic.pdf" TargetMode="External"/><Relationship Id="rId56" Type="http://schemas.openxmlformats.org/officeDocument/2006/relationships/hyperlink" Target="https://www.ti.com/lit/ds/symlink/drv5013.pdf" TargetMode="External"/><Relationship Id="rId59" Type="http://schemas.openxmlformats.org/officeDocument/2006/relationships/hyperlink" Target="https://www.pololu.com/product/2213/resources" TargetMode="External"/><Relationship Id="rId58" Type="http://schemas.openxmlformats.org/officeDocument/2006/relationships/hyperlink" Target="https://www.pololu.com/file/0J1721/pololu-4760-4761-dimensions.pdf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short/bqb93zpw" TargetMode="External"/><Relationship Id="rId42" Type="http://schemas.openxmlformats.org/officeDocument/2006/relationships/hyperlink" Target="https://www.digikey.com/short/m4nh0t4v" TargetMode="External"/><Relationship Id="rId41" Type="http://schemas.openxmlformats.org/officeDocument/2006/relationships/hyperlink" Target="https://search.murata.co.jp/Ceramy/image/img/A01X/G101/ENG/GRM188R61E475KE11-01.pdf" TargetMode="External"/><Relationship Id="rId44" Type="http://schemas.openxmlformats.org/officeDocument/2006/relationships/hyperlink" Target="https://www.digikey.com/short/cvdz3p45" TargetMode="External"/><Relationship Id="rId43" Type="http://schemas.openxmlformats.org/officeDocument/2006/relationships/hyperlink" Target="https://www.rubycon.co.jp/wp-content/uploads/catalog-aluminum/YXJ.pdf" TargetMode="External"/><Relationship Id="rId46" Type="http://schemas.openxmlformats.org/officeDocument/2006/relationships/hyperlink" Target="https://www.digikey.com/short/52hjjmzj" TargetMode="External"/><Relationship Id="rId45" Type="http://schemas.openxmlformats.org/officeDocument/2006/relationships/hyperlink" Target="https://industrial.panasonic.com/cdbs/www-data/pdf/RDA0000/AOA0000C301.pdf" TargetMode="External"/><Relationship Id="rId48" Type="http://schemas.openxmlformats.org/officeDocument/2006/relationships/hyperlink" Target="https://www.digikey.com/short/vdddtf3m" TargetMode="External"/><Relationship Id="rId47" Type="http://schemas.openxmlformats.org/officeDocument/2006/relationships/hyperlink" Target="https://www.yageo.com/upload/media/product/products/datasheet/rchip/PYu-RC_Group_51_RoHS_L_12.pdf" TargetMode="External"/><Relationship Id="rId49" Type="http://schemas.openxmlformats.org/officeDocument/2006/relationships/hyperlink" Target="https://www.yageogroup.com/content/datasheet/asset/file/PYU-RT_1-TO-0-01_ROHS_L" TargetMode="External"/><Relationship Id="rId103" Type="http://schemas.openxmlformats.org/officeDocument/2006/relationships/table" Target="../tables/table4.xml"/><Relationship Id="rId102" Type="http://schemas.openxmlformats.org/officeDocument/2006/relationships/table" Target="../tables/table3.xml"/><Relationship Id="rId31" Type="http://schemas.openxmlformats.org/officeDocument/2006/relationships/hyperlink" Target="https://www.ti.com/lit/ds/symlink/lm1085.pdf" TargetMode="External"/><Relationship Id="rId30" Type="http://schemas.openxmlformats.org/officeDocument/2006/relationships/hyperlink" Target="https://www.digikey.com/short/f0f7whp5" TargetMode="External"/><Relationship Id="rId33" Type="http://schemas.openxmlformats.org/officeDocument/2006/relationships/hyperlink" Target="https://www.yageogroup.com/content/datasheet/asset/file/KEM_C1002_X7R_SMD" TargetMode="External"/><Relationship Id="rId32" Type="http://schemas.openxmlformats.org/officeDocument/2006/relationships/hyperlink" Target="https://www.digikey.com/short/bq453dtn" TargetMode="External"/><Relationship Id="rId35" Type="http://schemas.openxmlformats.org/officeDocument/2006/relationships/hyperlink" Target="https://weblib.samsungsem.com/mlcc/mlcc-ec-data-sheet.do?partNumber=CL05Y105KP6VPN" TargetMode="External"/><Relationship Id="rId34" Type="http://schemas.openxmlformats.org/officeDocument/2006/relationships/hyperlink" Target="https://www.digikey.com/short/7zt9p85r" TargetMode="External"/><Relationship Id="rId37" Type="http://schemas.openxmlformats.org/officeDocument/2006/relationships/hyperlink" Target="https://mm.digikey.com/Volume0/opasdata/d220001/medias/docus/421/CL10A225KO8NNNC_Spec.pdf" TargetMode="External"/><Relationship Id="rId36" Type="http://schemas.openxmlformats.org/officeDocument/2006/relationships/hyperlink" Target="https://www.digikey.com/short/f93t7b49" TargetMode="External"/><Relationship Id="rId39" Type="http://schemas.openxmlformats.org/officeDocument/2006/relationships/hyperlink" Target="https://datasheets.kyocera-avx.com/TAJ.pdf" TargetMode="External"/><Relationship Id="rId38" Type="http://schemas.openxmlformats.org/officeDocument/2006/relationships/hyperlink" Target="https://www.digikey.com/short/rmr598h3" TargetMode="External"/><Relationship Id="rId20" Type="http://schemas.openxmlformats.org/officeDocument/2006/relationships/hyperlink" Target="https://www.digikey.com/short/rztp78f9" TargetMode="External"/><Relationship Id="rId22" Type="http://schemas.openxmlformats.org/officeDocument/2006/relationships/hyperlink" Target="https://www.digikey.com/short/t558799t" TargetMode="External"/><Relationship Id="rId21" Type="http://schemas.openxmlformats.org/officeDocument/2006/relationships/hyperlink" Target="https://www.ti.com/general/docs/suppproductinfo.tsp?distId=10&amp;gotoUrl=https%3A%2F%2Fwww.ti.com%2Flit%2Fgpn%2Fucc27524" TargetMode="External"/><Relationship Id="rId24" Type="http://schemas.openxmlformats.org/officeDocument/2006/relationships/hyperlink" Target="https://www.digikey.com/short/t550nvpn" TargetMode="External"/><Relationship Id="rId23" Type="http://schemas.openxmlformats.org/officeDocument/2006/relationships/hyperlink" Target="https://www.diodes.com/assets/Datasheets/ZXMHC3F381N8.pdf" TargetMode="External"/><Relationship Id="rId26" Type="http://schemas.openxmlformats.org/officeDocument/2006/relationships/hyperlink" Target="https://www.digikey.com/short/3zfbp3h8" TargetMode="External"/><Relationship Id="rId25" Type="http://schemas.openxmlformats.org/officeDocument/2006/relationships/hyperlink" Target="https://mm.digikey.com/Volume0/opasdata/d220001/medias/docus/544/B1501UY--20D001913U1930.pdf" TargetMode="External"/><Relationship Id="rId28" Type="http://schemas.openxmlformats.org/officeDocument/2006/relationships/hyperlink" Target="https://www.digikey.com/short/5wrhmztf" TargetMode="External"/><Relationship Id="rId27" Type="http://schemas.openxmlformats.org/officeDocument/2006/relationships/hyperlink" Target="https://www.onsemi.com/pdf/datasheet/mc78lc00-d.pdf" TargetMode="External"/><Relationship Id="rId29" Type="http://schemas.openxmlformats.org/officeDocument/2006/relationships/hyperlink" Target="https://www.diodes.com/assets/Datasheets/AP2210.pdf" TargetMode="External"/><Relationship Id="rId95" Type="http://schemas.openxmlformats.org/officeDocument/2006/relationships/hyperlink" Target="https://mm.digikey.com/Volume0/opasdata/d220001/medias/docus/5734/FSP201_v1.4_Oct2023.pdf" TargetMode="External"/><Relationship Id="rId94" Type="http://schemas.openxmlformats.org/officeDocument/2006/relationships/hyperlink" Target="https://www.digikey.com/short/0mfwnmv1" TargetMode="External"/><Relationship Id="rId97" Type="http://schemas.openxmlformats.org/officeDocument/2006/relationships/hyperlink" Target="https://mm.digikey.com/Volume0/opasdata/d220001/medias/docus/1256/CL31B104KBCNNNC_Spec.pdf" TargetMode="External"/><Relationship Id="rId96" Type="http://schemas.openxmlformats.org/officeDocument/2006/relationships/hyperlink" Target="https://www.digikey.com/short/tjn285hm" TargetMode="External"/><Relationship Id="rId11" Type="http://schemas.openxmlformats.org/officeDocument/2006/relationships/hyperlink" Target="https://www.st.com/resource/en/datasheet/stm32h503eb.pdf" TargetMode="External"/><Relationship Id="rId99" Type="http://schemas.openxmlformats.org/officeDocument/2006/relationships/vmlDrawing" Target="../drawings/vmlDrawing1.vml"/><Relationship Id="rId10" Type="http://schemas.openxmlformats.org/officeDocument/2006/relationships/hyperlink" Target="https://www.digikey.com/short/ddcf4p0p" TargetMode="External"/><Relationship Id="rId98" Type="http://schemas.openxmlformats.org/officeDocument/2006/relationships/drawing" Target="../drawings/drawing2.xml"/><Relationship Id="rId13" Type="http://schemas.openxmlformats.org/officeDocument/2006/relationships/hyperlink" Target="https://mm.digikey.com/Volume0/opasdata/d220001/medias/docus/6130/1655.pdf" TargetMode="External"/><Relationship Id="rId12" Type="http://schemas.openxmlformats.org/officeDocument/2006/relationships/hyperlink" Target="https://www.digikey.com/short/bnrh49nr" TargetMode="External"/><Relationship Id="rId91" Type="http://schemas.openxmlformats.org/officeDocument/2006/relationships/hyperlink" Target="https://mm.digikey.com/Volume0/opasdata/d220001/medias/docus/6379/JST.Suffix.Prefix.chart.06.01.23%20%283%29.pdf" TargetMode="External"/><Relationship Id="rId90" Type="http://schemas.openxmlformats.org/officeDocument/2006/relationships/hyperlink" Target="https://www.digikey.com/short/vj5hcfjb" TargetMode="External"/><Relationship Id="rId93" Type="http://schemas.openxmlformats.org/officeDocument/2006/relationships/hyperlink" Target="https://invensense.tdk.com/wp-content/uploads/2020/06/PS-MPU-6500A-01-v1.3.pdf" TargetMode="External"/><Relationship Id="rId92" Type="http://schemas.openxmlformats.org/officeDocument/2006/relationships/hyperlink" Target="https://www.digikey.com/short/w58r3f41" TargetMode="External"/><Relationship Id="rId15" Type="http://schemas.openxmlformats.org/officeDocument/2006/relationships/hyperlink" Target="https://invensense.tdk.com/wp-content/uploads/2024/03/DS-000189-ICM-20948-v1.6.pdf" TargetMode="External"/><Relationship Id="rId14" Type="http://schemas.openxmlformats.org/officeDocument/2006/relationships/hyperlink" Target="https://www.digikey.com/short/0j78n5mz" TargetMode="External"/><Relationship Id="rId17" Type="http://schemas.openxmlformats.org/officeDocument/2006/relationships/hyperlink" Target="https://www.sameskydevices.com/product/resource/slw-105558-2a-n-d.pdf" TargetMode="External"/><Relationship Id="rId16" Type="http://schemas.openxmlformats.org/officeDocument/2006/relationships/hyperlink" Target="https://www.digikey.com/short/3vjdjwpw" TargetMode="External"/><Relationship Id="rId19" Type="http://schemas.openxmlformats.org/officeDocument/2006/relationships/hyperlink" Target="https://www.soberton.com/wp-content/uploads/2022/03/PT-1306T.pdf" TargetMode="External"/><Relationship Id="rId18" Type="http://schemas.openxmlformats.org/officeDocument/2006/relationships/hyperlink" Target="https://www.digikey.com/short/r792247f" TargetMode="External"/><Relationship Id="rId84" Type="http://schemas.openxmlformats.org/officeDocument/2006/relationships/hyperlink" Target="https://www.digikey.com/short/qp30cv5p" TargetMode="External"/><Relationship Id="rId83" Type="http://schemas.openxmlformats.org/officeDocument/2006/relationships/hyperlink" Target="https://cdn.sparkfun.com/datasheets/BreakoutBoards/WS2812B.pdf" TargetMode="External"/><Relationship Id="rId86" Type="http://schemas.openxmlformats.org/officeDocument/2006/relationships/hyperlink" Target="https://www.digikey.com/short/zjd7vrbw" TargetMode="External"/><Relationship Id="rId85" Type="http://schemas.openxmlformats.org/officeDocument/2006/relationships/hyperlink" Target="https://www.st.com/resource/en/datasheet/stm32h503eb.pdf" TargetMode="External"/><Relationship Id="rId88" Type="http://schemas.openxmlformats.org/officeDocument/2006/relationships/hyperlink" Target="https://www.digikey.com/short/0mfwnmv1" TargetMode="External"/><Relationship Id="rId87" Type="http://schemas.openxmlformats.org/officeDocument/2006/relationships/hyperlink" Target="https://www.st.com/resource/en/datasheet/stm32f410cb.pdf" TargetMode="External"/><Relationship Id="rId89" Type="http://schemas.openxmlformats.org/officeDocument/2006/relationships/hyperlink" Target="https://mm.digikey.com/Volume0/opasdata/d220001/medias/docus/5734/FSP201_v1.4_Oct2023.pdf" TargetMode="External"/><Relationship Id="rId80" Type="http://schemas.openxmlformats.org/officeDocument/2006/relationships/hyperlink" Target="https://www.digikey.com/short/9zdfw1qd" TargetMode="External"/><Relationship Id="rId82" Type="http://schemas.openxmlformats.org/officeDocument/2006/relationships/hyperlink" Target="https://www.digikey.com/short/dr08089r" TargetMode="External"/><Relationship Id="rId81" Type="http://schemas.openxmlformats.org/officeDocument/2006/relationships/hyperlink" Target="https://www.we-online.com/components/products/datasheet/150352M173300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digikey.com/short/p79947wh" TargetMode="External"/><Relationship Id="rId3" Type="http://schemas.openxmlformats.org/officeDocument/2006/relationships/hyperlink" Target="https://look.ams-osram.com/m/3456970c8eccd2cb/original/SFH-4545.pdf" TargetMode="External"/><Relationship Id="rId4" Type="http://schemas.openxmlformats.org/officeDocument/2006/relationships/hyperlink" Target="https://www.digikey.com/short/tznrt051" TargetMode="External"/><Relationship Id="rId9" Type="http://schemas.openxmlformats.org/officeDocument/2006/relationships/hyperlink" Target="https://www.jst-mfg.com/product/pdf/eng/eSH.pdf" TargetMode="External"/><Relationship Id="rId5" Type="http://schemas.openxmlformats.org/officeDocument/2006/relationships/hyperlink" Target="https://www.vishay.com/docs/81549/teft4300.pdf" TargetMode="External"/><Relationship Id="rId6" Type="http://schemas.openxmlformats.org/officeDocument/2006/relationships/hyperlink" Target="https://www.digikey.com/short/jj7zfb9v" TargetMode="External"/><Relationship Id="rId7" Type="http://schemas.openxmlformats.org/officeDocument/2006/relationships/hyperlink" Target="https://toshiba.semicon-storage.com/info/SSM3K335R_datasheet_en_20250321.pdf?did=13020&amp;prodName=SSM3K335R" TargetMode="External"/><Relationship Id="rId8" Type="http://schemas.openxmlformats.org/officeDocument/2006/relationships/hyperlink" Target="https://www.digikey.com/short/7rzcn2wm" TargetMode="External"/><Relationship Id="rId73" Type="http://schemas.openxmlformats.org/officeDocument/2006/relationships/hyperlink" Target="https://toshiba.semicon-storage.com/info/TC78H660FNG_datasheet_en_20200908.pdf?did=69605&amp;prodName=TC78H660FNG" TargetMode="External"/><Relationship Id="rId72" Type="http://schemas.openxmlformats.org/officeDocument/2006/relationships/hyperlink" Target="https://www.digikey.com/short/jf925bpc" TargetMode="External"/><Relationship Id="rId75" Type="http://schemas.openxmlformats.org/officeDocument/2006/relationships/hyperlink" Target="https://toshiba.semicon-storage.com/info/TB6552FTG_datasheet_en_20170808.pdf?did=16151&amp;prodName=TB6552FTG" TargetMode="External"/><Relationship Id="rId74" Type="http://schemas.openxmlformats.org/officeDocument/2006/relationships/hyperlink" Target="https://www.digikey.com/short/2393prhp" TargetMode="External"/><Relationship Id="rId77" Type="http://schemas.openxmlformats.org/officeDocument/2006/relationships/hyperlink" Target="https://toshiba.semicon-storage.com/info/TB6552FTG_datasheet_en_20170808.pdf?did=16151&amp;prodName=TB6552FTG" TargetMode="External"/><Relationship Id="rId76" Type="http://schemas.openxmlformats.org/officeDocument/2006/relationships/hyperlink" Target="https://www.digikey.com/short/m0tqc344" TargetMode="External"/><Relationship Id="rId79" Type="http://schemas.openxmlformats.org/officeDocument/2006/relationships/hyperlink" Target="https://toshiba.semicon-storage.com/info/TC78H653FTG_datasheet_en_20190404.pdf?did=63589&amp;prodName=TC78H653FTG" TargetMode="External"/><Relationship Id="rId78" Type="http://schemas.openxmlformats.org/officeDocument/2006/relationships/hyperlink" Target="https://www.digikey.com/short/83prqqdc" TargetMode="External"/><Relationship Id="rId71" Type="http://schemas.openxmlformats.org/officeDocument/2006/relationships/hyperlink" Target="https://toshiba.semicon-storage.com/info/TC78H660FTG_datasheet_en_20200714.pdf?did=68604&amp;prodName=TC78H660FTG" TargetMode="External"/><Relationship Id="rId70" Type="http://schemas.openxmlformats.org/officeDocument/2006/relationships/hyperlink" Target="https://www.digikey.com/short/2dbhvjqf" TargetMode="External"/><Relationship Id="rId62" Type="http://schemas.openxmlformats.org/officeDocument/2006/relationships/hyperlink" Target="https://www.pololu.com/product/1087/resources" TargetMode="External"/><Relationship Id="rId61" Type="http://schemas.openxmlformats.org/officeDocument/2006/relationships/hyperlink" Target="https://www.pololu.com/file/0J1487/pololu-micro-metal-gearmotors-rev-6-1.pdf" TargetMode="External"/><Relationship Id="rId64" Type="http://schemas.openxmlformats.org/officeDocument/2006/relationships/hyperlink" Target="https://www.pololu.com/product/4765" TargetMode="External"/><Relationship Id="rId63" Type="http://schemas.openxmlformats.org/officeDocument/2006/relationships/hyperlink" Target="https://www.pololu.com/file/0J1708/pololu-wheel-dimensions.pdf" TargetMode="External"/><Relationship Id="rId66" Type="http://schemas.openxmlformats.org/officeDocument/2006/relationships/hyperlink" Target="https://www.amazon.com/Bridgold-16-pin-Stepper-Drivers-Controllers/dp/B07NXTWJV9/ref=sr_1_3?crid=242KTWZMSXNSR&amp;keywords=l293d&amp;qid=1657220711&amp;sprefix=l293%2Caps%2C129&amp;sr=8-3" TargetMode="External"/><Relationship Id="rId65" Type="http://schemas.openxmlformats.org/officeDocument/2006/relationships/hyperlink" Target="https://www.pololu.com/product/989" TargetMode="External"/><Relationship Id="rId68" Type="http://schemas.openxmlformats.org/officeDocument/2006/relationships/hyperlink" Target="https://www.digikey.com/short/tq75273m" TargetMode="External"/><Relationship Id="rId67" Type="http://schemas.openxmlformats.org/officeDocument/2006/relationships/hyperlink" Target="https://www.digikey.com/en/products/detail/stmicroelectronics/L293D/634700?gad_source=1&amp;gad_campaignid=120503595&amp;gbraid=0AAAAADrbLlhK77QQeTpIfqxygZ5EzRb0E&amp;gclid=EAIaIQobChMImJOxib__jQMVrDIIBR3P0SK4EAAYASAAEgI1N_D_BwE&amp;gclsrc=aw.ds" TargetMode="External"/><Relationship Id="rId60" Type="http://schemas.openxmlformats.org/officeDocument/2006/relationships/hyperlink" Target="https://www.pololu.com/product/2213/resources" TargetMode="External"/><Relationship Id="rId69" Type="http://schemas.openxmlformats.org/officeDocument/2006/relationships/hyperlink" Target="https://app.adam-tech.com/products/download/data_sheet/199582/ics-3xx-t-data-sheet.pdf" TargetMode="External"/><Relationship Id="rId51" Type="http://schemas.openxmlformats.org/officeDocument/2006/relationships/hyperlink" Target="https://www.yageogroup.com/content/datasheet/asset/file/PYU-RC_GROUP_51_ROHS_L" TargetMode="External"/><Relationship Id="rId50" Type="http://schemas.openxmlformats.org/officeDocument/2006/relationships/hyperlink" Target="https://www.digikey.com/short/tjnqbzwq" TargetMode="External"/><Relationship Id="rId53" Type="http://schemas.openxmlformats.org/officeDocument/2006/relationships/hyperlink" Target="https://www.seielect.com/catalog/SEI-RMCF_RMCP.pdf" TargetMode="External"/><Relationship Id="rId52" Type="http://schemas.openxmlformats.org/officeDocument/2006/relationships/hyperlink" Target="https://www.digikey.com/short/d0r20hpq" TargetMode="External"/><Relationship Id="rId55" Type="http://schemas.openxmlformats.org/officeDocument/2006/relationships/hyperlink" Target="https://mm.digikey.com/Volume0/opasdata/d220001/medias/docus/610/LB2518T102K_SS.pdf" TargetMode="External"/><Relationship Id="rId54" Type="http://schemas.openxmlformats.org/officeDocument/2006/relationships/hyperlink" Target="https://www.digikey.com/short/5h5nmp1c" TargetMode="External"/><Relationship Id="rId57" Type="http://schemas.openxmlformats.org/officeDocument/2006/relationships/hyperlink" Target="https://www.ti.com/lit/ds/symlink/drv5013.pdf" TargetMode="External"/><Relationship Id="rId56" Type="http://schemas.openxmlformats.org/officeDocument/2006/relationships/hyperlink" Target="https://www.pololu.com/product/4761" TargetMode="External"/><Relationship Id="rId59" Type="http://schemas.openxmlformats.org/officeDocument/2006/relationships/hyperlink" Target="https://www.pololu.com/file/0J1721/pololu-4760-4761-dimensions.pdf" TargetMode="External"/><Relationship Id="rId58" Type="http://schemas.openxmlformats.org/officeDocument/2006/relationships/hyperlink" Target="https://www.pololu.com/file/0J1718/pololu-4760-4761-schematic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ttmillman.com/info/crimpconnectors/common-jst-connector-types/" TargetMode="External"/><Relationship Id="rId2" Type="http://schemas.openxmlformats.org/officeDocument/2006/relationships/hyperlink" Target="https://www.digikey.com/en/products/detail/rohm-semiconductor/BD60210FV-E2/26524654?_gl=1*1sam7wy*_up*MQ..*_gs*MQ..&amp;gclid=EAIaIQobChMImJOxib__jQMVrDIIBR3P0SK4EAAYASAAEgI1N_D_BwE&amp;gclsrc=aw.ds&amp;gbraid=0AAAAADrbLlhK77QQeTpIfqxygZ5EzRb0E" TargetMode="External"/><Relationship Id="rId3" Type="http://schemas.openxmlformats.org/officeDocument/2006/relationships/hyperlink" Target="https://www.digikey.com/en/products/detail/toshiba-semiconductor-and-storage/TC78H620FNG-EL/7056839?_gl=1*6a4bpe*_up*MQ..*_gs*MQ..&amp;gclid=EAIaIQobChMImJOxib__jQMVrDIIBR3P0SK4EAAYASAAEgI1N_D_BwE&amp;gclsrc=aw.ds&amp;gbraid=0AAAAADrbLlhK77QQeTpIfqxygZ5EzRb0E" TargetMode="External"/><Relationship Id="rId4" Type="http://schemas.openxmlformats.org/officeDocument/2006/relationships/hyperlink" Target="https://www.digikey.com/en/products/detail/stmicroelectronics/L293DD/585913?gad_source=1&amp;gad_campaignid=9265913509&amp;gbraid=0AAAAADrbLlhRbXcn7xTlPRSZFe_qJAkTI&amp;gclid=EAIaIQobChMIw9qlvfCajgMVix9ECB1JAxRUEAAYAiAAEgKgz_D_BwE&amp;gclsrc=aw.ds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88"/>
    <col customWidth="1" min="2" max="2" width="20.88"/>
    <col customWidth="1" min="3" max="3" width="23.75"/>
    <col customWidth="1" min="4" max="4" width="9.13"/>
    <col customWidth="1" min="5" max="5" width="11.25"/>
    <col customWidth="1" min="6" max="6" width="12.88"/>
    <col customWidth="1" min="7" max="7" width="13.13"/>
    <col customWidth="1" min="8" max="8" width="17.63"/>
    <col customWidth="1" min="9" max="9" width="15.13"/>
    <col customWidth="1" min="10" max="10" width="36.75"/>
    <col customWidth="1" min="11" max="11" width="1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10"/>
      <c r="M1" s="10"/>
    </row>
    <row r="2">
      <c r="A2" s="11" t="s">
        <v>11</v>
      </c>
      <c r="B2" s="12" t="s">
        <v>12</v>
      </c>
      <c r="C2" s="13" t="s">
        <v>13</v>
      </c>
      <c r="D2" s="14">
        <v>4.0</v>
      </c>
      <c r="E2" s="14">
        <v>10.0</v>
      </c>
      <c r="F2" s="15">
        <v>0.529</v>
      </c>
      <c r="G2" s="16">
        <f t="shared" ref="G2:G9" si="1">D2*F2</f>
        <v>2.116</v>
      </c>
      <c r="H2" s="17" t="s">
        <v>14</v>
      </c>
      <c r="I2" s="18"/>
      <c r="J2" s="19" t="s">
        <v>15</v>
      </c>
      <c r="K2" s="20" t="s">
        <v>16</v>
      </c>
      <c r="L2" s="21"/>
      <c r="M2" s="21"/>
    </row>
    <row r="3">
      <c r="A3" s="22"/>
      <c r="B3" s="12" t="s">
        <v>17</v>
      </c>
      <c r="C3" s="23" t="s">
        <v>18</v>
      </c>
      <c r="D3" s="14">
        <v>4.0</v>
      </c>
      <c r="E3" s="14">
        <v>10.0</v>
      </c>
      <c r="F3" s="15">
        <v>0.467</v>
      </c>
      <c r="G3" s="16">
        <f t="shared" si="1"/>
        <v>1.868</v>
      </c>
      <c r="H3" s="17" t="s">
        <v>14</v>
      </c>
      <c r="I3" s="24"/>
      <c r="J3" s="25" t="s">
        <v>19</v>
      </c>
      <c r="K3" s="25" t="s">
        <v>20</v>
      </c>
      <c r="L3" s="26"/>
      <c r="M3" s="26"/>
    </row>
    <row r="4">
      <c r="A4" s="22"/>
      <c r="B4" s="27" t="s">
        <v>21</v>
      </c>
      <c r="C4" s="28" t="s">
        <v>22</v>
      </c>
      <c r="D4" s="29" t="s">
        <v>23</v>
      </c>
      <c r="E4" s="29" t="s">
        <v>24</v>
      </c>
      <c r="F4" s="15">
        <v>0.467</v>
      </c>
      <c r="G4" s="16">
        <f t="shared" si="1"/>
        <v>2.335</v>
      </c>
      <c r="H4" s="17" t="s">
        <v>14</v>
      </c>
      <c r="I4" s="28"/>
      <c r="J4" s="30" t="s">
        <v>25</v>
      </c>
      <c r="K4" s="31" t="s">
        <v>26</v>
      </c>
      <c r="L4" s="32"/>
      <c r="M4" s="3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>
      <c r="A5" s="22"/>
      <c r="B5" s="27" t="s">
        <v>27</v>
      </c>
      <c r="C5" s="28" t="s">
        <v>28</v>
      </c>
      <c r="D5" s="29" t="s">
        <v>23</v>
      </c>
      <c r="E5" s="29" t="s">
        <v>24</v>
      </c>
      <c r="F5" s="28" t="s">
        <v>29</v>
      </c>
      <c r="G5" s="34">
        <f t="shared" si="1"/>
        <v>3.35</v>
      </c>
      <c r="H5" s="17" t="s">
        <v>14</v>
      </c>
      <c r="I5" s="28"/>
      <c r="J5" s="30" t="s">
        <v>30</v>
      </c>
      <c r="K5" s="31" t="s">
        <v>31</v>
      </c>
      <c r="L5" s="32"/>
      <c r="M5" s="3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>
      <c r="A6" s="22"/>
      <c r="B6" s="27" t="s">
        <v>32</v>
      </c>
      <c r="C6" s="28" t="s">
        <v>33</v>
      </c>
      <c r="D6" s="29" t="s">
        <v>34</v>
      </c>
      <c r="E6" s="29" t="s">
        <v>24</v>
      </c>
      <c r="F6" s="15">
        <v>3.54</v>
      </c>
      <c r="G6" s="34">
        <f t="shared" si="1"/>
        <v>10.62</v>
      </c>
      <c r="H6" s="17" t="s">
        <v>14</v>
      </c>
      <c r="I6" s="28" t="s">
        <v>35</v>
      </c>
      <c r="J6" s="35" t="s">
        <v>36</v>
      </c>
      <c r="K6" s="31" t="s">
        <v>37</v>
      </c>
      <c r="L6" s="36"/>
      <c r="M6" s="36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>
      <c r="A7" s="22"/>
      <c r="B7" s="37" t="s">
        <v>38</v>
      </c>
      <c r="C7" s="23" t="s">
        <v>39</v>
      </c>
      <c r="D7" s="14">
        <v>1.0</v>
      </c>
      <c r="E7" s="14">
        <v>1.0</v>
      </c>
      <c r="F7" s="15">
        <v>4.5</v>
      </c>
      <c r="G7" s="34">
        <f t="shared" si="1"/>
        <v>4.5</v>
      </c>
      <c r="H7" s="17" t="s">
        <v>14</v>
      </c>
      <c r="I7" s="23" t="s">
        <v>40</v>
      </c>
      <c r="J7" s="38" t="s">
        <v>41</v>
      </c>
      <c r="K7" s="25" t="s">
        <v>42</v>
      </c>
      <c r="L7" s="39"/>
      <c r="M7" s="39"/>
    </row>
    <row r="8">
      <c r="A8" s="22"/>
      <c r="B8" s="37" t="s">
        <v>43</v>
      </c>
      <c r="C8" s="23" t="s">
        <v>44</v>
      </c>
      <c r="D8" s="14">
        <v>2.0</v>
      </c>
      <c r="E8" s="14">
        <v>1.0</v>
      </c>
      <c r="F8" s="15">
        <v>6.78</v>
      </c>
      <c r="G8" s="34">
        <f t="shared" si="1"/>
        <v>13.56</v>
      </c>
      <c r="H8" s="17" t="s">
        <v>14</v>
      </c>
      <c r="I8" s="23"/>
      <c r="J8" s="25" t="s">
        <v>45</v>
      </c>
      <c r="K8" s="25" t="s">
        <v>46</v>
      </c>
      <c r="L8" s="39"/>
      <c r="M8" s="39"/>
    </row>
    <row r="9">
      <c r="A9" s="22"/>
      <c r="B9" s="37" t="s">
        <v>47</v>
      </c>
      <c r="C9" s="23" t="s">
        <v>48</v>
      </c>
      <c r="D9" s="14">
        <v>2.0</v>
      </c>
      <c r="E9" s="14">
        <v>1.0</v>
      </c>
      <c r="F9" s="15">
        <v>0.39</v>
      </c>
      <c r="G9" s="34">
        <f t="shared" si="1"/>
        <v>0.78</v>
      </c>
      <c r="H9" s="17" t="s">
        <v>14</v>
      </c>
      <c r="I9" s="23"/>
      <c r="J9" s="25" t="s">
        <v>49</v>
      </c>
      <c r="K9" s="25" t="s">
        <v>50</v>
      </c>
      <c r="L9" s="39"/>
      <c r="M9" s="39"/>
    </row>
    <row r="10">
      <c r="A10" s="22"/>
      <c r="B10" s="37" t="s">
        <v>51</v>
      </c>
      <c r="C10" s="23"/>
      <c r="D10" s="14">
        <v>2.0</v>
      </c>
      <c r="E10" s="14">
        <v>1.0</v>
      </c>
      <c r="F10" s="15"/>
      <c r="G10" s="34"/>
      <c r="H10" s="17"/>
      <c r="I10" s="23"/>
      <c r="J10" s="40"/>
      <c r="K10" s="40"/>
      <c r="L10" s="39"/>
      <c r="M10" s="39"/>
    </row>
    <row r="11">
      <c r="A11" s="22"/>
      <c r="B11" s="37" t="s">
        <v>52</v>
      </c>
      <c r="C11" s="23" t="s">
        <v>53</v>
      </c>
      <c r="D11" s="14">
        <v>1.0</v>
      </c>
      <c r="E11" s="14">
        <v>1.0</v>
      </c>
      <c r="F11" s="15">
        <v>0.61</v>
      </c>
      <c r="G11" s="34">
        <f t="shared" ref="G11:G29" si="2">D11*F11</f>
        <v>0.61</v>
      </c>
      <c r="H11" s="17" t="s">
        <v>14</v>
      </c>
      <c r="I11" s="23"/>
      <c r="J11" s="25" t="s">
        <v>54</v>
      </c>
      <c r="K11" s="25" t="s">
        <v>55</v>
      </c>
      <c r="L11" s="39"/>
      <c r="M11" s="39"/>
    </row>
    <row r="12">
      <c r="A12" s="22"/>
      <c r="B12" s="37" t="s">
        <v>56</v>
      </c>
      <c r="C12" s="23" t="s">
        <v>57</v>
      </c>
      <c r="D12" s="14">
        <v>2.0</v>
      </c>
      <c r="E12" s="14">
        <v>1.0</v>
      </c>
      <c r="F12" s="15">
        <v>1.94</v>
      </c>
      <c r="G12" s="34">
        <f t="shared" si="2"/>
        <v>3.88</v>
      </c>
      <c r="H12" s="17" t="s">
        <v>14</v>
      </c>
      <c r="I12" s="23"/>
      <c r="J12" s="25" t="s">
        <v>58</v>
      </c>
      <c r="K12" s="25" t="s">
        <v>59</v>
      </c>
      <c r="L12" s="39"/>
      <c r="M12" s="39"/>
    </row>
    <row r="13">
      <c r="A13" s="22"/>
      <c r="B13" s="37" t="s">
        <v>60</v>
      </c>
      <c r="C13" s="23" t="s">
        <v>61</v>
      </c>
      <c r="D13" s="14">
        <v>2.0</v>
      </c>
      <c r="E13" s="14">
        <v>1.0</v>
      </c>
      <c r="F13" s="15">
        <v>1.62</v>
      </c>
      <c r="G13" s="34">
        <f t="shared" si="2"/>
        <v>3.24</v>
      </c>
      <c r="H13" s="17" t="s">
        <v>14</v>
      </c>
      <c r="I13" s="23"/>
      <c r="J13" s="25" t="s">
        <v>62</v>
      </c>
      <c r="K13" s="25" t="s">
        <v>63</v>
      </c>
      <c r="L13" s="39"/>
      <c r="M13" s="39"/>
    </row>
    <row r="14">
      <c r="A14" s="22"/>
      <c r="B14" s="37" t="s">
        <v>64</v>
      </c>
      <c r="C14" s="23" t="s">
        <v>65</v>
      </c>
      <c r="D14" s="14">
        <v>10.0</v>
      </c>
      <c r="E14" s="14">
        <v>10.0</v>
      </c>
      <c r="F14" s="15">
        <v>0.057</v>
      </c>
      <c r="G14" s="34">
        <f t="shared" si="2"/>
        <v>0.57</v>
      </c>
      <c r="H14" s="17" t="s">
        <v>14</v>
      </c>
      <c r="I14" s="23"/>
      <c r="J14" s="25" t="s">
        <v>66</v>
      </c>
      <c r="K14" s="25" t="s">
        <v>67</v>
      </c>
      <c r="L14" s="39"/>
      <c r="M14" s="39"/>
    </row>
    <row r="15">
      <c r="A15" s="22"/>
      <c r="B15" s="37" t="s">
        <v>68</v>
      </c>
      <c r="C15" s="23" t="s">
        <v>69</v>
      </c>
      <c r="D15" s="14">
        <v>1.0</v>
      </c>
      <c r="E15" s="14">
        <v>1.0</v>
      </c>
      <c r="F15" s="15">
        <v>0.22</v>
      </c>
      <c r="G15" s="34">
        <f t="shared" si="2"/>
        <v>0.22</v>
      </c>
      <c r="H15" s="17" t="s">
        <v>14</v>
      </c>
      <c r="I15" s="23"/>
      <c r="J15" s="25" t="s">
        <v>70</v>
      </c>
      <c r="K15" s="25" t="s">
        <v>71</v>
      </c>
      <c r="L15" s="39"/>
      <c r="M15" s="39"/>
    </row>
    <row r="16">
      <c r="A16" s="22"/>
      <c r="B16" s="37" t="s">
        <v>72</v>
      </c>
      <c r="C16" s="23" t="s">
        <v>73</v>
      </c>
      <c r="D16" s="14">
        <v>1.0</v>
      </c>
      <c r="E16" s="14">
        <v>1.0</v>
      </c>
      <c r="F16" s="15">
        <v>0.2</v>
      </c>
      <c r="G16" s="34">
        <f t="shared" si="2"/>
        <v>0.2</v>
      </c>
      <c r="H16" s="17" t="s">
        <v>14</v>
      </c>
      <c r="I16" s="23"/>
      <c r="J16" s="25" t="s">
        <v>74</v>
      </c>
      <c r="K16" s="25" t="s">
        <v>75</v>
      </c>
      <c r="L16" s="39"/>
      <c r="M16" s="39"/>
    </row>
    <row r="17">
      <c r="A17" s="22"/>
      <c r="B17" s="37" t="s">
        <v>76</v>
      </c>
      <c r="C17" s="23" t="s">
        <v>77</v>
      </c>
      <c r="D17" s="14">
        <v>1.0</v>
      </c>
      <c r="E17" s="14">
        <v>1.0</v>
      </c>
      <c r="F17" s="15">
        <v>1.84</v>
      </c>
      <c r="G17" s="34">
        <f t="shared" si="2"/>
        <v>1.84</v>
      </c>
      <c r="H17" s="17" t="s">
        <v>14</v>
      </c>
      <c r="I17" s="23"/>
      <c r="J17" s="25" t="s">
        <v>78</v>
      </c>
      <c r="K17" s="25" t="s">
        <v>79</v>
      </c>
      <c r="L17" s="39"/>
      <c r="M17" s="39"/>
    </row>
    <row r="18">
      <c r="A18" s="22"/>
      <c r="B18" s="37" t="s">
        <v>80</v>
      </c>
      <c r="C18" s="23" t="s">
        <v>81</v>
      </c>
      <c r="D18" s="14">
        <v>13.0</v>
      </c>
      <c r="E18" s="14">
        <v>10.0</v>
      </c>
      <c r="F18" s="15">
        <v>0.061</v>
      </c>
      <c r="G18" s="34">
        <f t="shared" si="2"/>
        <v>0.793</v>
      </c>
      <c r="H18" s="17" t="s">
        <v>14</v>
      </c>
      <c r="I18" s="23"/>
      <c r="J18" s="25" t="s">
        <v>82</v>
      </c>
      <c r="K18" s="25" t="s">
        <v>83</v>
      </c>
      <c r="L18" s="39"/>
      <c r="M18" s="39"/>
    </row>
    <row r="19">
      <c r="A19" s="22"/>
      <c r="B19" s="37" t="s">
        <v>84</v>
      </c>
      <c r="C19" s="41" t="s">
        <v>85</v>
      </c>
      <c r="D19" s="42">
        <v>7.0</v>
      </c>
      <c r="E19" s="42">
        <v>1.0</v>
      </c>
      <c r="F19" s="43">
        <v>0.12</v>
      </c>
      <c r="G19" s="44">
        <f t="shared" si="2"/>
        <v>0.84</v>
      </c>
      <c r="H19" s="45" t="s">
        <v>14</v>
      </c>
      <c r="I19" s="46"/>
      <c r="J19" s="47" t="s">
        <v>86</v>
      </c>
      <c r="K19" s="48" t="s">
        <v>87</v>
      </c>
      <c r="L19" s="49"/>
      <c r="M19" s="49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</row>
    <row r="20">
      <c r="A20" s="22"/>
      <c r="B20" s="37" t="s">
        <v>88</v>
      </c>
      <c r="C20" s="41" t="s">
        <v>89</v>
      </c>
      <c r="D20" s="42">
        <v>3.0</v>
      </c>
      <c r="E20" s="42">
        <v>1.0</v>
      </c>
      <c r="F20" s="43">
        <v>0.08</v>
      </c>
      <c r="G20" s="44">
        <f t="shared" si="2"/>
        <v>0.24</v>
      </c>
      <c r="H20" s="51" t="s">
        <v>14</v>
      </c>
      <c r="I20" s="46"/>
      <c r="J20" s="47" t="s">
        <v>90</v>
      </c>
      <c r="K20" s="47" t="s">
        <v>91</v>
      </c>
      <c r="L20" s="49"/>
      <c r="M20" s="49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</row>
    <row r="21">
      <c r="A21" s="22"/>
      <c r="B21" s="37" t="s">
        <v>92</v>
      </c>
      <c r="C21" s="41" t="s">
        <v>93</v>
      </c>
      <c r="D21" s="42">
        <v>2.0</v>
      </c>
      <c r="E21" s="42">
        <v>1.0</v>
      </c>
      <c r="F21" s="43">
        <v>0.33</v>
      </c>
      <c r="G21" s="44">
        <f t="shared" si="2"/>
        <v>0.66</v>
      </c>
      <c r="H21" s="45" t="s">
        <v>14</v>
      </c>
      <c r="I21" s="46"/>
      <c r="J21" s="48" t="s">
        <v>94</v>
      </c>
      <c r="K21" s="48" t="s">
        <v>95</v>
      </c>
      <c r="L21" s="49"/>
      <c r="M21" s="49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>
      <c r="A22" s="22"/>
      <c r="B22" s="52" t="s">
        <v>96</v>
      </c>
      <c r="C22" s="41" t="s">
        <v>97</v>
      </c>
      <c r="D22" s="42">
        <v>3.0</v>
      </c>
      <c r="E22" s="42">
        <v>1.0</v>
      </c>
      <c r="F22" s="43">
        <v>0.08</v>
      </c>
      <c r="G22" s="44">
        <f t="shared" si="2"/>
        <v>0.24</v>
      </c>
      <c r="H22" s="51" t="s">
        <v>14</v>
      </c>
      <c r="I22" s="46"/>
      <c r="J22" s="48" t="s">
        <v>98</v>
      </c>
      <c r="K22" s="48" t="s">
        <v>99</v>
      </c>
      <c r="L22" s="49"/>
      <c r="M22" s="49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>
      <c r="A23" s="22"/>
      <c r="B23" s="52" t="s">
        <v>100</v>
      </c>
      <c r="C23" s="41" t="s">
        <v>101</v>
      </c>
      <c r="D23" s="42">
        <v>4.0</v>
      </c>
      <c r="E23" s="42">
        <v>1.0</v>
      </c>
      <c r="F23" s="43">
        <v>0.23</v>
      </c>
      <c r="G23" s="44">
        <f t="shared" si="2"/>
        <v>0.92</v>
      </c>
      <c r="H23" s="45" t="s">
        <v>14</v>
      </c>
      <c r="I23" s="46"/>
      <c r="J23" s="47" t="s">
        <v>102</v>
      </c>
      <c r="K23" s="48" t="s">
        <v>103</v>
      </c>
      <c r="L23" s="49"/>
      <c r="M23" s="49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>
      <c r="A24" s="22"/>
      <c r="B24" s="53" t="s">
        <v>104</v>
      </c>
      <c r="C24" s="41" t="s">
        <v>105</v>
      </c>
      <c r="D24" s="42">
        <v>1.0</v>
      </c>
      <c r="E24" s="42">
        <v>1.0</v>
      </c>
      <c r="F24" s="43">
        <v>0.1</v>
      </c>
      <c r="G24" s="44">
        <f t="shared" si="2"/>
        <v>0.1</v>
      </c>
      <c r="H24" s="51" t="s">
        <v>14</v>
      </c>
      <c r="I24" s="46"/>
      <c r="J24" s="47" t="s">
        <v>106</v>
      </c>
      <c r="K24" s="48" t="s">
        <v>107</v>
      </c>
      <c r="L24" s="49"/>
      <c r="M24" s="49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>
      <c r="A25" s="22"/>
      <c r="B25" s="53" t="s">
        <v>108</v>
      </c>
      <c r="C25" s="41" t="s">
        <v>109</v>
      </c>
      <c r="D25" s="42">
        <v>18.0</v>
      </c>
      <c r="E25" s="42">
        <v>10.0</v>
      </c>
      <c r="F25" s="43">
        <v>0.007</v>
      </c>
      <c r="G25" s="44">
        <f t="shared" si="2"/>
        <v>0.126</v>
      </c>
      <c r="H25" s="45" t="s">
        <v>14</v>
      </c>
      <c r="I25" s="46"/>
      <c r="J25" s="47" t="s">
        <v>110</v>
      </c>
      <c r="K25" s="48" t="s">
        <v>111</v>
      </c>
      <c r="L25" s="49"/>
      <c r="M25" s="49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>
      <c r="A26" s="22"/>
      <c r="B26" s="53" t="s">
        <v>112</v>
      </c>
      <c r="C26" s="54" t="s">
        <v>113</v>
      </c>
      <c r="D26" s="55">
        <v>1.0</v>
      </c>
      <c r="E26" s="55">
        <v>1.0</v>
      </c>
      <c r="F26" s="56">
        <v>0.45</v>
      </c>
      <c r="G26" s="44">
        <f t="shared" si="2"/>
        <v>0.45</v>
      </c>
      <c r="H26" s="51" t="s">
        <v>14</v>
      </c>
      <c r="I26" s="57"/>
      <c r="J26" s="58" t="s">
        <v>114</v>
      </c>
      <c r="K26" s="59" t="s">
        <v>115</v>
      </c>
      <c r="L26" s="60"/>
      <c r="M26" s="6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>
      <c r="A27" s="22"/>
      <c r="B27" s="53" t="s">
        <v>116</v>
      </c>
      <c r="C27" s="54" t="s">
        <v>117</v>
      </c>
      <c r="D27" s="55">
        <v>6.0</v>
      </c>
      <c r="E27" s="55">
        <v>1.0</v>
      </c>
      <c r="F27" s="56">
        <v>0.1</v>
      </c>
      <c r="G27" s="61">
        <f t="shared" si="2"/>
        <v>0.6</v>
      </c>
      <c r="H27" s="51" t="s">
        <v>14</v>
      </c>
      <c r="I27" s="57"/>
      <c r="J27" s="58" t="s">
        <v>118</v>
      </c>
      <c r="K27" s="58" t="s">
        <v>119</v>
      </c>
      <c r="L27" s="60"/>
      <c r="M27" s="6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>
      <c r="A28" s="22"/>
      <c r="B28" s="53" t="s">
        <v>120</v>
      </c>
      <c r="C28" s="54" t="s">
        <v>121</v>
      </c>
      <c r="D28" s="55">
        <v>1.0</v>
      </c>
      <c r="E28" s="55">
        <v>1.0</v>
      </c>
      <c r="F28" s="56">
        <v>0.1</v>
      </c>
      <c r="G28" s="61">
        <f t="shared" si="2"/>
        <v>0.1</v>
      </c>
      <c r="H28" s="51" t="s">
        <v>14</v>
      </c>
      <c r="I28" s="57"/>
      <c r="J28" s="58" t="s">
        <v>122</v>
      </c>
      <c r="K28" s="58" t="s">
        <v>123</v>
      </c>
      <c r="L28" s="60"/>
      <c r="M28" s="6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</row>
    <row r="29">
      <c r="A29" s="22"/>
      <c r="B29" s="53" t="s">
        <v>124</v>
      </c>
      <c r="C29" s="54" t="s">
        <v>125</v>
      </c>
      <c r="D29" s="55">
        <v>1.0</v>
      </c>
      <c r="E29" s="55">
        <v>1.0</v>
      </c>
      <c r="F29" s="56">
        <v>0.1</v>
      </c>
      <c r="G29" s="61">
        <f t="shared" si="2"/>
        <v>0.1</v>
      </c>
      <c r="H29" s="51" t="s">
        <v>14</v>
      </c>
      <c r="I29" s="57"/>
      <c r="J29" s="58" t="s">
        <v>126</v>
      </c>
      <c r="K29" s="58" t="s">
        <v>127</v>
      </c>
      <c r="L29" s="60"/>
      <c r="M29" s="6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</row>
    <row r="30">
      <c r="A30" s="62"/>
      <c r="B30" s="63" t="s">
        <v>128</v>
      </c>
      <c r="C30" s="62"/>
      <c r="D30" s="62"/>
      <c r="E30" s="62"/>
      <c r="F30" s="62"/>
      <c r="G30" s="63">
        <v>100.0</v>
      </c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>
      <c r="A32" s="64" t="s">
        <v>129</v>
      </c>
      <c r="B32" s="12" t="s">
        <v>130</v>
      </c>
      <c r="C32" s="23" t="s">
        <v>131</v>
      </c>
      <c r="D32" s="14">
        <v>0.0</v>
      </c>
      <c r="E32" s="14">
        <v>1.0</v>
      </c>
      <c r="F32" s="15">
        <v>8.95</v>
      </c>
      <c r="G32" s="16">
        <f t="shared" ref="G32:G36" si="3">D32*F32</f>
        <v>0</v>
      </c>
      <c r="H32" s="17" t="s">
        <v>132</v>
      </c>
      <c r="I32" s="24"/>
      <c r="J32" s="38" t="s">
        <v>133</v>
      </c>
      <c r="K32" s="25" t="s">
        <v>134</v>
      </c>
      <c r="L32" s="65" t="s">
        <v>135</v>
      </c>
      <c r="M32" s="65" t="s">
        <v>136</v>
      </c>
    </row>
    <row r="33">
      <c r="A33" s="66"/>
      <c r="B33" s="12" t="s">
        <v>137</v>
      </c>
      <c r="C33" s="13" t="s">
        <v>138</v>
      </c>
      <c r="D33" s="14">
        <v>0.0</v>
      </c>
      <c r="E33" s="14">
        <v>1.0</v>
      </c>
      <c r="F33" s="15">
        <v>24.95</v>
      </c>
      <c r="G33" s="16">
        <f t="shared" si="3"/>
        <v>0</v>
      </c>
      <c r="H33" s="17" t="s">
        <v>132</v>
      </c>
      <c r="I33" s="18"/>
      <c r="J33" s="19" t="s">
        <v>139</v>
      </c>
      <c r="K33" s="20" t="s">
        <v>140</v>
      </c>
      <c r="L33" s="21"/>
      <c r="M33" s="21"/>
    </row>
    <row r="34">
      <c r="A34" s="66"/>
      <c r="B34" s="12" t="s">
        <v>141</v>
      </c>
      <c r="C34" s="23" t="s">
        <v>142</v>
      </c>
      <c r="D34" s="14">
        <v>0.0</v>
      </c>
      <c r="E34" s="14">
        <v>1.0</v>
      </c>
      <c r="F34" s="15">
        <v>4.45</v>
      </c>
      <c r="G34" s="16">
        <f t="shared" si="3"/>
        <v>0</v>
      </c>
      <c r="H34" s="17" t="s">
        <v>132</v>
      </c>
      <c r="I34" s="24"/>
      <c r="J34" s="38" t="s">
        <v>143</v>
      </c>
      <c r="K34" s="38" t="s">
        <v>144</v>
      </c>
      <c r="L34" s="67"/>
      <c r="M34" s="67"/>
    </row>
    <row r="35">
      <c r="A35" s="66"/>
      <c r="B35" s="12" t="s">
        <v>145</v>
      </c>
      <c r="C35" s="13" t="s">
        <v>146</v>
      </c>
      <c r="D35" s="14">
        <v>0.0</v>
      </c>
      <c r="E35" s="14">
        <v>1.0</v>
      </c>
      <c r="F35" s="15">
        <v>3.32</v>
      </c>
      <c r="G35" s="16">
        <f t="shared" si="3"/>
        <v>0</v>
      </c>
      <c r="H35" s="17" t="s">
        <v>132</v>
      </c>
      <c r="I35" s="18"/>
      <c r="J35" s="19" t="s">
        <v>147</v>
      </c>
      <c r="K35" s="18"/>
      <c r="L35" s="68"/>
      <c r="M35" s="68"/>
    </row>
    <row r="36">
      <c r="A36" s="69"/>
      <c r="B36" s="12" t="s">
        <v>148</v>
      </c>
      <c r="C36" s="23" t="s">
        <v>149</v>
      </c>
      <c r="D36" s="14">
        <v>0.0</v>
      </c>
      <c r="E36" s="14">
        <v>1.0</v>
      </c>
      <c r="F36" s="15">
        <v>2.95</v>
      </c>
      <c r="G36" s="16">
        <f t="shared" si="3"/>
        <v>0</v>
      </c>
      <c r="H36" s="17" t="s">
        <v>132</v>
      </c>
      <c r="I36" s="24"/>
      <c r="J36" s="38" t="s">
        <v>150</v>
      </c>
      <c r="K36" s="24"/>
      <c r="L36" s="67"/>
      <c r="M36" s="67"/>
    </row>
    <row r="37">
      <c r="A37" s="70"/>
      <c r="B37" s="71"/>
      <c r="C37" s="18"/>
      <c r="D37" s="72"/>
      <c r="E37" s="72"/>
      <c r="F37" s="16"/>
      <c r="G37" s="16"/>
      <c r="H37" s="17"/>
      <c r="I37" s="18"/>
      <c r="J37" s="18"/>
      <c r="K37" s="18"/>
      <c r="L37" s="68"/>
      <c r="M37" s="68"/>
    </row>
    <row r="38">
      <c r="A38" s="73" t="s">
        <v>151</v>
      </c>
      <c r="B38" s="74" t="s">
        <v>152</v>
      </c>
      <c r="C38" s="23" t="s">
        <v>153</v>
      </c>
      <c r="D38" s="14">
        <v>0.0</v>
      </c>
      <c r="E38" s="14"/>
      <c r="F38" s="15">
        <v>8.49</v>
      </c>
      <c r="G38" s="15">
        <f>D38*F38</f>
        <v>0</v>
      </c>
      <c r="H38" s="17" t="s">
        <v>132</v>
      </c>
      <c r="I38" s="23" t="s">
        <v>154</v>
      </c>
      <c r="J38" s="38" t="s">
        <v>155</v>
      </c>
      <c r="K38" s="25" t="s">
        <v>156</v>
      </c>
      <c r="L38" s="67"/>
      <c r="M38" s="67"/>
    </row>
    <row r="39">
      <c r="A39" s="66"/>
      <c r="B39" s="75" t="s">
        <v>157</v>
      </c>
      <c r="C39" s="18"/>
      <c r="D39" s="72"/>
      <c r="E39" s="72"/>
      <c r="F39" s="16"/>
      <c r="G39" s="16"/>
      <c r="H39" s="17"/>
      <c r="I39" s="18"/>
      <c r="J39" s="18"/>
      <c r="K39" s="76"/>
      <c r="L39" s="68"/>
      <c r="M39" s="68"/>
    </row>
    <row r="40">
      <c r="A40" s="69"/>
      <c r="B40" s="77" t="s">
        <v>158</v>
      </c>
      <c r="C40" s="78"/>
      <c r="D40" s="79"/>
      <c r="E40" s="79"/>
      <c r="F40" s="80"/>
      <c r="G40" s="80"/>
      <c r="H40" s="81"/>
      <c r="I40" s="78"/>
      <c r="J40" s="78"/>
      <c r="K40" s="78"/>
      <c r="L40" s="67"/>
      <c r="M40" s="67"/>
    </row>
    <row r="41">
      <c r="A41" s="70"/>
      <c r="B41" s="82"/>
      <c r="C41" s="83"/>
      <c r="D41" s="84"/>
      <c r="E41" s="84"/>
      <c r="F41" s="85"/>
      <c r="G41" s="85"/>
      <c r="H41" s="86"/>
      <c r="I41" s="83"/>
      <c r="J41" s="83"/>
      <c r="K41" s="83"/>
      <c r="L41" s="68"/>
      <c r="M41" s="68"/>
    </row>
    <row r="42">
      <c r="A42" s="87"/>
      <c r="B42" s="88"/>
      <c r="C42" s="87"/>
      <c r="D42" s="89"/>
      <c r="E42" s="89"/>
      <c r="F42" s="90"/>
      <c r="G42" s="91" t="s">
        <v>159</v>
      </c>
      <c r="I42" s="87"/>
      <c r="J42" s="87"/>
      <c r="K42" s="87"/>
    </row>
    <row r="43">
      <c r="A43" s="87"/>
      <c r="B43" s="88"/>
      <c r="C43" s="87"/>
      <c r="D43" s="89"/>
      <c r="E43" s="89"/>
      <c r="F43" s="90"/>
      <c r="G43" s="92">
        <f>sum(BOM!$G$2:$G$41)</f>
        <v>154.858</v>
      </c>
      <c r="I43" s="87"/>
      <c r="J43" s="87"/>
      <c r="K43" s="87"/>
    </row>
    <row r="46" hidden="1">
      <c r="B46" s="93" t="s">
        <v>160</v>
      </c>
    </row>
    <row r="47" hidden="1"/>
    <row r="48" hidden="1">
      <c r="A48" s="94"/>
      <c r="B48" s="27" t="s">
        <v>161</v>
      </c>
      <c r="C48" s="28" t="s">
        <v>162</v>
      </c>
      <c r="D48" s="29" t="s">
        <v>163</v>
      </c>
      <c r="E48" s="29" t="s">
        <v>24</v>
      </c>
      <c r="F48" s="28" t="s">
        <v>164</v>
      </c>
      <c r="G48" s="34">
        <f t="shared" ref="G48:G62" si="4">D48*F48</f>
        <v>0.28</v>
      </c>
      <c r="H48" s="95" t="s">
        <v>14</v>
      </c>
      <c r="I48" s="28" t="s">
        <v>165</v>
      </c>
      <c r="J48" s="96" t="s">
        <v>166</v>
      </c>
      <c r="K48" s="31" t="s">
        <v>167</v>
      </c>
      <c r="L48" s="36"/>
      <c r="M48" s="36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hidden="1">
      <c r="A49" s="94"/>
      <c r="B49" s="97" t="s">
        <v>168</v>
      </c>
      <c r="C49" s="28" t="s">
        <v>169</v>
      </c>
      <c r="D49" s="29"/>
      <c r="E49" s="29" t="s">
        <v>24</v>
      </c>
      <c r="F49" s="28" t="s">
        <v>170</v>
      </c>
      <c r="G49" s="34">
        <f t="shared" si="4"/>
        <v>0</v>
      </c>
      <c r="H49" s="95" t="s">
        <v>14</v>
      </c>
      <c r="I49" s="28"/>
      <c r="J49" s="96" t="s">
        <v>171</v>
      </c>
      <c r="K49" s="31" t="s">
        <v>172</v>
      </c>
      <c r="L49" s="36"/>
      <c r="M49" s="36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hidden="1">
      <c r="A50" s="94"/>
      <c r="B50" s="98" t="s">
        <v>173</v>
      </c>
      <c r="C50" s="28" t="s">
        <v>174</v>
      </c>
      <c r="D50" s="29"/>
      <c r="E50" s="29" t="s">
        <v>24</v>
      </c>
      <c r="F50" s="28" t="s">
        <v>175</v>
      </c>
      <c r="G50" s="34">
        <f t="shared" si="4"/>
        <v>0</v>
      </c>
      <c r="H50" s="95" t="s">
        <v>14</v>
      </c>
      <c r="I50" s="28"/>
      <c r="J50" s="30" t="s">
        <v>176</v>
      </c>
      <c r="K50" s="99" t="s">
        <v>177</v>
      </c>
      <c r="L50" s="36"/>
      <c r="M50" s="36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hidden="1">
      <c r="A51" s="94"/>
      <c r="B51" s="98" t="s">
        <v>178</v>
      </c>
      <c r="C51" s="28" t="s">
        <v>179</v>
      </c>
      <c r="D51" s="29"/>
      <c r="E51" s="29" t="s">
        <v>24</v>
      </c>
      <c r="F51" s="28" t="s">
        <v>180</v>
      </c>
      <c r="G51" s="34">
        <f t="shared" si="4"/>
        <v>0</v>
      </c>
      <c r="H51" s="95" t="s">
        <v>14</v>
      </c>
      <c r="I51" s="28"/>
      <c r="J51" s="96" t="s">
        <v>181</v>
      </c>
      <c r="K51" s="31" t="s">
        <v>182</v>
      </c>
      <c r="L51" s="36"/>
      <c r="M51" s="36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hidden="1">
      <c r="A52" s="94"/>
      <c r="B52" s="98" t="s">
        <v>183</v>
      </c>
      <c r="C52" s="28" t="s">
        <v>184</v>
      </c>
      <c r="D52" s="29"/>
      <c r="E52" s="29" t="s">
        <v>24</v>
      </c>
      <c r="F52" s="28" t="s">
        <v>185</v>
      </c>
      <c r="G52" s="34">
        <f t="shared" si="4"/>
        <v>0</v>
      </c>
      <c r="H52" s="95" t="s">
        <v>14</v>
      </c>
      <c r="I52" s="28"/>
      <c r="J52" s="30" t="s">
        <v>186</v>
      </c>
      <c r="K52" s="99" t="s">
        <v>182</v>
      </c>
      <c r="L52" s="36"/>
      <c r="M52" s="36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hidden="1">
      <c r="A53" s="94"/>
      <c r="B53" s="98" t="s">
        <v>187</v>
      </c>
      <c r="C53" s="28" t="s">
        <v>188</v>
      </c>
      <c r="D53" s="29"/>
      <c r="E53" s="29" t="s">
        <v>24</v>
      </c>
      <c r="F53" s="28" t="s">
        <v>189</v>
      </c>
      <c r="G53" s="34">
        <f t="shared" si="4"/>
        <v>0</v>
      </c>
      <c r="H53" s="95" t="s">
        <v>14</v>
      </c>
      <c r="I53" s="28"/>
      <c r="J53" s="100" t="s">
        <v>190</v>
      </c>
      <c r="K53" s="99" t="s">
        <v>191</v>
      </c>
      <c r="L53" s="36"/>
      <c r="M53" s="36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hidden="1">
      <c r="A54" s="101"/>
      <c r="B54" s="102" t="s">
        <v>192</v>
      </c>
      <c r="C54" s="23" t="s">
        <v>193</v>
      </c>
      <c r="D54" s="14"/>
      <c r="E54" s="14">
        <v>1.0</v>
      </c>
      <c r="F54" s="15">
        <v>0.68</v>
      </c>
      <c r="G54" s="34">
        <f t="shared" si="4"/>
        <v>0</v>
      </c>
      <c r="H54" s="17" t="s">
        <v>14</v>
      </c>
      <c r="I54" s="24"/>
      <c r="J54" s="38" t="s">
        <v>194</v>
      </c>
      <c r="K54" s="103" t="s">
        <v>195</v>
      </c>
      <c r="L54" s="39"/>
      <c r="M54" s="39"/>
    </row>
    <row r="55" hidden="1">
      <c r="A55" s="101"/>
      <c r="B55" s="102" t="s">
        <v>196</v>
      </c>
      <c r="C55" s="23" t="s">
        <v>197</v>
      </c>
      <c r="D55" s="14"/>
      <c r="E55" s="14">
        <v>1.0</v>
      </c>
      <c r="F55" s="15">
        <v>0.68</v>
      </c>
      <c r="G55" s="34">
        <f t="shared" si="4"/>
        <v>0</v>
      </c>
      <c r="H55" s="17" t="s">
        <v>14</v>
      </c>
      <c r="I55" s="24"/>
      <c r="J55" s="38" t="s">
        <v>198</v>
      </c>
      <c r="K55" s="103" t="s">
        <v>199</v>
      </c>
      <c r="L55" s="39"/>
      <c r="M55" s="39"/>
    </row>
    <row r="56" hidden="1">
      <c r="A56" s="104"/>
      <c r="B56" s="105" t="s">
        <v>200</v>
      </c>
      <c r="C56" s="106" t="s">
        <v>201</v>
      </c>
      <c r="D56" s="106"/>
      <c r="E56" s="106" t="s">
        <v>24</v>
      </c>
      <c r="F56" s="61">
        <v>3.54</v>
      </c>
      <c r="G56" s="34">
        <f t="shared" si="4"/>
        <v>0</v>
      </c>
      <c r="H56" s="45" t="s">
        <v>14</v>
      </c>
      <c r="I56" s="106" t="s">
        <v>202</v>
      </c>
      <c r="J56" s="30" t="s">
        <v>203</v>
      </c>
      <c r="K56" s="107" t="s">
        <v>37</v>
      </c>
      <c r="L56" s="108"/>
      <c r="M56" s="108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</row>
    <row r="57" hidden="1">
      <c r="A57" s="109"/>
      <c r="B57" s="110" t="s">
        <v>204</v>
      </c>
      <c r="C57" s="111" t="s">
        <v>205</v>
      </c>
      <c r="D57" s="112"/>
      <c r="E57" s="112" t="s">
        <v>24</v>
      </c>
      <c r="F57" s="113">
        <v>3.56</v>
      </c>
      <c r="G57" s="114">
        <f t="shared" si="4"/>
        <v>0</v>
      </c>
      <c r="H57" s="115" t="s">
        <v>14</v>
      </c>
      <c r="I57" s="111"/>
      <c r="J57" s="116" t="s">
        <v>206</v>
      </c>
      <c r="K57" s="117" t="s">
        <v>207</v>
      </c>
      <c r="L57" s="118"/>
      <c r="M57" s="118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</row>
    <row r="58" hidden="1">
      <c r="A58" s="120"/>
      <c r="B58" s="121" t="s">
        <v>208</v>
      </c>
      <c r="C58" s="111" t="s">
        <v>209</v>
      </c>
      <c r="D58" s="112" t="s">
        <v>24</v>
      </c>
      <c r="E58" s="112" t="s">
        <v>24</v>
      </c>
      <c r="F58" s="111" t="s">
        <v>210</v>
      </c>
      <c r="G58" s="122">
        <f t="shared" si="4"/>
        <v>8.61</v>
      </c>
      <c r="H58" s="123" t="s">
        <v>14</v>
      </c>
      <c r="I58" s="124"/>
      <c r="J58" s="125" t="s">
        <v>211</v>
      </c>
      <c r="K58" s="126" t="s">
        <v>212</v>
      </c>
      <c r="L58" s="118"/>
      <c r="M58" s="118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</row>
    <row r="59" hidden="1">
      <c r="A59" s="127"/>
      <c r="B59" s="121" t="s">
        <v>213</v>
      </c>
      <c r="C59" s="111" t="s">
        <v>214</v>
      </c>
      <c r="D59" s="112" t="s">
        <v>24</v>
      </c>
      <c r="E59" s="112" t="s">
        <v>24</v>
      </c>
      <c r="F59" s="111" t="s">
        <v>215</v>
      </c>
      <c r="G59" s="122">
        <f t="shared" si="4"/>
        <v>1.52</v>
      </c>
      <c r="H59" s="128" t="s">
        <v>14</v>
      </c>
      <c r="I59" s="111"/>
      <c r="J59" s="129" t="s">
        <v>216</v>
      </c>
      <c r="K59" s="130" t="s">
        <v>217</v>
      </c>
      <c r="L59" s="118"/>
      <c r="M59" s="118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</row>
    <row r="60" hidden="1">
      <c r="A60" s="101"/>
      <c r="B60" s="131" t="s">
        <v>218</v>
      </c>
      <c r="C60" s="132" t="s">
        <v>219</v>
      </c>
      <c r="D60" s="133" t="s">
        <v>24</v>
      </c>
      <c r="E60" s="133" t="s">
        <v>24</v>
      </c>
      <c r="F60" s="132" t="s">
        <v>220</v>
      </c>
      <c r="G60" s="16">
        <f t="shared" si="4"/>
        <v>7.17</v>
      </c>
      <c r="H60" s="134" t="s">
        <v>14</v>
      </c>
      <c r="I60" s="132"/>
      <c r="J60" s="135" t="s">
        <v>221</v>
      </c>
      <c r="K60" s="136" t="s">
        <v>222</v>
      </c>
      <c r="L60" s="36"/>
      <c r="M60" s="36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hidden="1">
      <c r="A61" s="101"/>
      <c r="B61" s="131" t="s">
        <v>208</v>
      </c>
      <c r="C61" s="132" t="s">
        <v>209</v>
      </c>
      <c r="D61" s="133" t="s">
        <v>24</v>
      </c>
      <c r="E61" s="133" t="s">
        <v>24</v>
      </c>
      <c r="F61" s="132" t="s">
        <v>210</v>
      </c>
      <c r="G61" s="16">
        <f t="shared" si="4"/>
        <v>8.61</v>
      </c>
      <c r="H61" s="134" t="s">
        <v>14</v>
      </c>
      <c r="I61" s="132"/>
      <c r="J61" s="135" t="s">
        <v>211</v>
      </c>
      <c r="K61" s="136" t="s">
        <v>212</v>
      </c>
      <c r="L61" s="36"/>
      <c r="M61" s="36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hidden="1">
      <c r="A62" s="101"/>
      <c r="B62" s="131" t="s">
        <v>223</v>
      </c>
      <c r="C62" s="132" t="s">
        <v>224</v>
      </c>
      <c r="D62" s="133" t="s">
        <v>24</v>
      </c>
      <c r="E62" s="133" t="s">
        <v>24</v>
      </c>
      <c r="F62" s="137" t="s">
        <v>225</v>
      </c>
      <c r="G62" s="16">
        <f t="shared" si="4"/>
        <v>0.11</v>
      </c>
      <c r="H62" s="134" t="s">
        <v>14</v>
      </c>
      <c r="I62" s="132"/>
      <c r="J62" s="135" t="s">
        <v>226</v>
      </c>
      <c r="K62" s="136" t="s">
        <v>227</v>
      </c>
      <c r="L62" s="36"/>
      <c r="M62" s="36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</sheetData>
  <mergeCells count="3">
    <mergeCell ref="A32:A36"/>
    <mergeCell ref="A38:A40"/>
    <mergeCell ref="A2:A29"/>
  </mergeCells>
  <dataValidations>
    <dataValidation type="list" allowBlank="1" showErrorMessage="1" sqref="H2:H29 H32:H36 H38 H48:H62">
      <formula1>"Arrived,Ordered,Not Ordered"</formula1>
    </dataValidation>
  </dataValidations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1"/>
    <hyperlink r:id="rId18" ref="K11"/>
    <hyperlink r:id="rId19" ref="J12"/>
    <hyperlink r:id="rId20" ref="K12"/>
    <hyperlink r:id="rId21" ref="J13"/>
    <hyperlink r:id="rId22" ref="K13"/>
    <hyperlink r:id="rId23" ref="J14"/>
    <hyperlink r:id="rId24" ref="K14"/>
    <hyperlink r:id="rId25" ref="J15"/>
    <hyperlink r:id="rId26" ref="K15"/>
    <hyperlink r:id="rId27" ref="J16"/>
    <hyperlink r:id="rId28" ref="K16"/>
    <hyperlink r:id="rId29" ref="J17"/>
    <hyperlink r:id="rId30" ref="K17"/>
    <hyperlink r:id="rId31" ref="J18"/>
    <hyperlink r:id="rId32" ref="K18"/>
    <hyperlink r:id="rId33" ref="J19"/>
    <hyperlink r:id="rId34" ref="K19"/>
    <hyperlink r:id="rId35" ref="J20"/>
    <hyperlink r:id="rId36" ref="K20"/>
    <hyperlink r:id="rId37" ref="J21"/>
    <hyperlink r:id="rId38" ref="K21"/>
    <hyperlink r:id="rId39" ref="J22"/>
    <hyperlink r:id="rId40" ref="K22"/>
    <hyperlink r:id="rId41" ref="J23"/>
    <hyperlink r:id="rId42" ref="K23"/>
    <hyperlink r:id="rId43" ref="J24"/>
    <hyperlink r:id="rId44" ref="K24"/>
    <hyperlink r:id="rId45" ref="J25"/>
    <hyperlink r:id="rId46" ref="K25"/>
    <hyperlink r:id="rId47" ref="J26"/>
    <hyperlink r:id="rId48" ref="K26"/>
    <hyperlink r:id="rId49" ref="J27"/>
    <hyperlink r:id="rId50" ref="K27"/>
    <hyperlink r:id="rId51" ref="J28"/>
    <hyperlink r:id="rId52" ref="K28"/>
    <hyperlink r:id="rId53" ref="J29"/>
    <hyperlink r:id="rId54" ref="K29"/>
    <hyperlink r:id="rId55" ref="J32"/>
    <hyperlink r:id="rId56" ref="K32"/>
    <hyperlink r:id="rId57" ref="L32"/>
    <hyperlink r:id="rId58" ref="M32"/>
    <hyperlink r:id="rId59" ref="J33"/>
    <hyperlink r:id="rId60" ref="K33"/>
    <hyperlink r:id="rId61" ref="J34"/>
    <hyperlink r:id="rId62" ref="K34"/>
    <hyperlink r:id="rId63" ref="J35"/>
    <hyperlink r:id="rId64" ref="J36"/>
    <hyperlink r:id="rId65" ref="J38"/>
    <hyperlink r:id="rId66" ref="K38"/>
    <hyperlink r:id="rId67" ref="J48"/>
    <hyperlink r:id="rId68" ref="K48"/>
    <hyperlink r:id="rId69" ref="J49"/>
    <hyperlink r:id="rId70" ref="K49"/>
    <hyperlink r:id="rId71" ref="J50"/>
    <hyperlink r:id="rId72" ref="K50"/>
    <hyperlink r:id="rId73" ref="J51"/>
    <hyperlink r:id="rId74" ref="K51"/>
    <hyperlink r:id="rId75" ref="J52"/>
    <hyperlink r:id="rId76" ref="K52"/>
    <hyperlink r:id="rId77" ref="J53"/>
    <hyperlink r:id="rId78" ref="K53"/>
    <hyperlink r:id="rId79" ref="J54"/>
    <hyperlink r:id="rId80" ref="K54"/>
    <hyperlink r:id="rId81" ref="J55"/>
    <hyperlink r:id="rId82" ref="K55"/>
    <hyperlink r:id="rId83" ref="J56"/>
    <hyperlink r:id="rId84" ref="K56"/>
    <hyperlink r:id="rId85" ref="J57"/>
    <hyperlink r:id="rId86" ref="K57"/>
    <hyperlink r:id="rId87" ref="J58"/>
    <hyperlink r:id="rId88" ref="K58"/>
    <hyperlink r:id="rId89" ref="J59"/>
    <hyperlink r:id="rId90" ref="K59"/>
    <hyperlink r:id="rId91" ref="J60"/>
    <hyperlink r:id="rId92" ref="K60"/>
    <hyperlink r:id="rId93" ref="J61"/>
    <hyperlink r:id="rId94" ref="K61"/>
    <hyperlink r:id="rId95" ref="J62"/>
    <hyperlink r:id="rId96" ref="K62"/>
  </hyperlinks>
  <drawing r:id="rId97"/>
  <tableParts count="2">
    <tablePart r:id="rId100"/>
    <tablePart r:id="rId1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88"/>
    <col customWidth="1" min="2" max="2" width="20.88"/>
    <col customWidth="1" min="3" max="3" width="23.75"/>
    <col customWidth="1" min="4" max="4" width="9.13"/>
    <col customWidth="1" min="5" max="5" width="11.25"/>
    <col customWidth="1" min="6" max="6" width="12.88"/>
    <col customWidth="1" min="7" max="7" width="13.13"/>
    <col customWidth="1" min="8" max="8" width="17.63"/>
    <col customWidth="1" min="9" max="9" width="15.13"/>
    <col customWidth="1" min="10" max="10" width="36.75"/>
    <col customWidth="1" min="11" max="11" width="1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10"/>
      <c r="M1" s="10"/>
    </row>
    <row r="2">
      <c r="A2" s="11" t="s">
        <v>11</v>
      </c>
      <c r="B2" s="12" t="s">
        <v>12</v>
      </c>
      <c r="C2" s="13" t="s">
        <v>13</v>
      </c>
      <c r="D2" s="14">
        <v>4.0</v>
      </c>
      <c r="E2" s="14">
        <v>10.0</v>
      </c>
      <c r="F2" s="15">
        <v>0.529</v>
      </c>
      <c r="G2" s="16">
        <f t="shared" ref="G2:G9" si="1">D2*F2</f>
        <v>2.116</v>
      </c>
      <c r="H2" s="17" t="s">
        <v>14</v>
      </c>
      <c r="I2" s="18"/>
      <c r="J2" s="19" t="s">
        <v>15</v>
      </c>
      <c r="K2" s="20" t="s">
        <v>16</v>
      </c>
      <c r="L2" s="21"/>
      <c r="M2" s="21"/>
    </row>
    <row r="3">
      <c r="A3" s="22"/>
      <c r="B3" s="12" t="s">
        <v>17</v>
      </c>
      <c r="C3" s="23" t="s">
        <v>18</v>
      </c>
      <c r="D3" s="14">
        <v>4.0</v>
      </c>
      <c r="E3" s="14">
        <v>10.0</v>
      </c>
      <c r="F3" s="15">
        <v>0.467</v>
      </c>
      <c r="G3" s="16">
        <f t="shared" si="1"/>
        <v>1.868</v>
      </c>
      <c r="H3" s="17" t="s">
        <v>14</v>
      </c>
      <c r="I3" s="24"/>
      <c r="J3" s="25" t="s">
        <v>19</v>
      </c>
      <c r="K3" s="25" t="s">
        <v>20</v>
      </c>
      <c r="L3" s="26"/>
      <c r="M3" s="26"/>
    </row>
    <row r="4">
      <c r="A4" s="22"/>
      <c r="B4" s="27" t="s">
        <v>21</v>
      </c>
      <c r="C4" s="28" t="s">
        <v>22</v>
      </c>
      <c r="D4" s="29" t="s">
        <v>23</v>
      </c>
      <c r="E4" s="29" t="s">
        <v>24</v>
      </c>
      <c r="F4" s="15">
        <v>0.467</v>
      </c>
      <c r="G4" s="16">
        <f t="shared" si="1"/>
        <v>2.335</v>
      </c>
      <c r="H4" s="17" t="s">
        <v>14</v>
      </c>
      <c r="I4" s="28"/>
      <c r="J4" s="30" t="s">
        <v>25</v>
      </c>
      <c r="K4" s="31" t="s">
        <v>26</v>
      </c>
      <c r="L4" s="32"/>
      <c r="M4" s="3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>
      <c r="A5" s="22"/>
      <c r="B5" s="27" t="s">
        <v>27</v>
      </c>
      <c r="C5" s="28" t="s">
        <v>28</v>
      </c>
      <c r="D5" s="29" t="s">
        <v>23</v>
      </c>
      <c r="E5" s="29" t="s">
        <v>24</v>
      </c>
      <c r="F5" s="28" t="s">
        <v>29</v>
      </c>
      <c r="G5" s="34">
        <f t="shared" si="1"/>
        <v>3.35</v>
      </c>
      <c r="H5" s="17" t="s">
        <v>14</v>
      </c>
      <c r="I5" s="28"/>
      <c r="J5" s="30" t="s">
        <v>30</v>
      </c>
      <c r="K5" s="31" t="s">
        <v>31</v>
      </c>
      <c r="L5" s="32"/>
      <c r="M5" s="3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>
      <c r="A6" s="22"/>
      <c r="B6" s="27" t="s">
        <v>32</v>
      </c>
      <c r="C6" s="28" t="s">
        <v>33</v>
      </c>
      <c r="D6" s="29" t="s">
        <v>34</v>
      </c>
      <c r="E6" s="29" t="s">
        <v>24</v>
      </c>
      <c r="F6" s="15">
        <v>3.54</v>
      </c>
      <c r="G6" s="34">
        <f t="shared" si="1"/>
        <v>10.62</v>
      </c>
      <c r="H6" s="17" t="s">
        <v>14</v>
      </c>
      <c r="I6" s="28" t="s">
        <v>35</v>
      </c>
      <c r="J6" s="35" t="s">
        <v>36</v>
      </c>
      <c r="K6" s="31" t="s">
        <v>37</v>
      </c>
      <c r="L6" s="36"/>
      <c r="M6" s="36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>
      <c r="A7" s="22"/>
      <c r="B7" s="37" t="s">
        <v>38</v>
      </c>
      <c r="C7" s="23" t="s">
        <v>39</v>
      </c>
      <c r="D7" s="14">
        <v>1.0</v>
      </c>
      <c r="E7" s="14">
        <v>1.0</v>
      </c>
      <c r="F7" s="15">
        <v>4.5</v>
      </c>
      <c r="G7" s="34">
        <f t="shared" si="1"/>
        <v>4.5</v>
      </c>
      <c r="H7" s="17" t="s">
        <v>14</v>
      </c>
      <c r="I7" s="23" t="s">
        <v>40</v>
      </c>
      <c r="J7" s="38" t="s">
        <v>41</v>
      </c>
      <c r="K7" s="25" t="s">
        <v>42</v>
      </c>
      <c r="L7" s="39"/>
      <c r="M7" s="39"/>
    </row>
    <row r="8">
      <c r="A8" s="22"/>
      <c r="B8" s="37" t="s">
        <v>43</v>
      </c>
      <c r="C8" s="23" t="s">
        <v>44</v>
      </c>
      <c r="D8" s="14">
        <v>2.0</v>
      </c>
      <c r="E8" s="14">
        <v>1.0</v>
      </c>
      <c r="F8" s="15">
        <v>6.78</v>
      </c>
      <c r="G8" s="34">
        <f t="shared" si="1"/>
        <v>13.56</v>
      </c>
      <c r="H8" s="17" t="s">
        <v>14</v>
      </c>
      <c r="I8" s="23"/>
      <c r="J8" s="25" t="s">
        <v>45</v>
      </c>
      <c r="K8" s="25" t="s">
        <v>46</v>
      </c>
      <c r="L8" s="39"/>
      <c r="M8" s="39"/>
    </row>
    <row r="9">
      <c r="A9" s="22"/>
      <c r="B9" s="37" t="s">
        <v>47</v>
      </c>
      <c r="C9" s="23" t="s">
        <v>48</v>
      </c>
      <c r="D9" s="14">
        <v>2.0</v>
      </c>
      <c r="E9" s="14">
        <v>1.0</v>
      </c>
      <c r="F9" s="15">
        <v>0.39</v>
      </c>
      <c r="G9" s="34">
        <f t="shared" si="1"/>
        <v>0.78</v>
      </c>
      <c r="H9" s="17" t="s">
        <v>14</v>
      </c>
      <c r="I9" s="23"/>
      <c r="J9" s="25" t="s">
        <v>49</v>
      </c>
      <c r="K9" s="25" t="s">
        <v>50</v>
      </c>
      <c r="L9" s="39"/>
      <c r="M9" s="39"/>
    </row>
    <row r="10">
      <c r="A10" s="22"/>
      <c r="B10" s="37" t="s">
        <v>51</v>
      </c>
      <c r="C10" s="23"/>
      <c r="D10" s="14">
        <v>2.0</v>
      </c>
      <c r="E10" s="14">
        <v>1.0</v>
      </c>
      <c r="F10" s="15"/>
      <c r="G10" s="34"/>
      <c r="H10" s="17"/>
      <c r="I10" s="23"/>
      <c r="J10" s="40"/>
      <c r="K10" s="40"/>
      <c r="L10" s="39"/>
      <c r="M10" s="39"/>
    </row>
    <row r="11">
      <c r="A11" s="22"/>
      <c r="B11" s="37" t="s">
        <v>52</v>
      </c>
      <c r="C11" s="23" t="s">
        <v>53</v>
      </c>
      <c r="D11" s="14">
        <v>1.0</v>
      </c>
      <c r="E11" s="14">
        <v>1.0</v>
      </c>
      <c r="F11" s="15">
        <v>0.61</v>
      </c>
      <c r="G11" s="34">
        <f t="shared" ref="G11:G29" si="2">D11*F11</f>
        <v>0.61</v>
      </c>
      <c r="H11" s="17" t="s">
        <v>14</v>
      </c>
      <c r="I11" s="23"/>
      <c r="J11" s="25" t="s">
        <v>54</v>
      </c>
      <c r="K11" s="25" t="s">
        <v>55</v>
      </c>
      <c r="L11" s="39"/>
      <c r="M11" s="39"/>
    </row>
    <row r="12">
      <c r="A12" s="22"/>
      <c r="B12" s="37" t="s">
        <v>56</v>
      </c>
      <c r="C12" s="23" t="s">
        <v>57</v>
      </c>
      <c r="D12" s="14">
        <v>2.0</v>
      </c>
      <c r="E12" s="14">
        <v>1.0</v>
      </c>
      <c r="F12" s="15">
        <v>1.94</v>
      </c>
      <c r="G12" s="34">
        <f t="shared" si="2"/>
        <v>3.88</v>
      </c>
      <c r="H12" s="17" t="s">
        <v>14</v>
      </c>
      <c r="I12" s="23"/>
      <c r="J12" s="25" t="s">
        <v>58</v>
      </c>
      <c r="K12" s="25" t="s">
        <v>59</v>
      </c>
      <c r="L12" s="39"/>
      <c r="M12" s="39"/>
    </row>
    <row r="13">
      <c r="A13" s="22"/>
      <c r="B13" s="37" t="s">
        <v>60</v>
      </c>
      <c r="C13" s="23" t="s">
        <v>61</v>
      </c>
      <c r="D13" s="14">
        <v>2.0</v>
      </c>
      <c r="E13" s="14">
        <v>1.0</v>
      </c>
      <c r="F13" s="15">
        <v>1.62</v>
      </c>
      <c r="G13" s="34">
        <f t="shared" si="2"/>
        <v>3.24</v>
      </c>
      <c r="H13" s="17" t="s">
        <v>14</v>
      </c>
      <c r="I13" s="23"/>
      <c r="J13" s="25" t="s">
        <v>62</v>
      </c>
      <c r="K13" s="25" t="s">
        <v>63</v>
      </c>
      <c r="L13" s="39"/>
      <c r="M13" s="39"/>
    </row>
    <row r="14">
      <c r="A14" s="22"/>
      <c r="B14" s="37" t="s">
        <v>64</v>
      </c>
      <c r="C14" s="23" t="s">
        <v>65</v>
      </c>
      <c r="D14" s="14">
        <v>10.0</v>
      </c>
      <c r="E14" s="14">
        <v>10.0</v>
      </c>
      <c r="F14" s="15">
        <v>0.057</v>
      </c>
      <c r="G14" s="34">
        <f t="shared" si="2"/>
        <v>0.57</v>
      </c>
      <c r="H14" s="17" t="s">
        <v>14</v>
      </c>
      <c r="I14" s="23"/>
      <c r="J14" s="25" t="s">
        <v>66</v>
      </c>
      <c r="K14" s="25" t="s">
        <v>67</v>
      </c>
      <c r="L14" s="39"/>
      <c r="M14" s="39"/>
    </row>
    <row r="15">
      <c r="A15" s="22"/>
      <c r="B15" s="37" t="s">
        <v>68</v>
      </c>
      <c r="C15" s="23" t="s">
        <v>69</v>
      </c>
      <c r="D15" s="14">
        <v>1.0</v>
      </c>
      <c r="E15" s="14">
        <v>1.0</v>
      </c>
      <c r="F15" s="15">
        <v>0.22</v>
      </c>
      <c r="G15" s="34">
        <f t="shared" si="2"/>
        <v>0.22</v>
      </c>
      <c r="H15" s="17" t="s">
        <v>14</v>
      </c>
      <c r="I15" s="23"/>
      <c r="J15" s="25" t="s">
        <v>70</v>
      </c>
      <c r="K15" s="25" t="s">
        <v>71</v>
      </c>
      <c r="L15" s="39"/>
      <c r="M15" s="39"/>
    </row>
    <row r="16">
      <c r="A16" s="22"/>
      <c r="B16" s="37" t="s">
        <v>72</v>
      </c>
      <c r="C16" s="23" t="s">
        <v>73</v>
      </c>
      <c r="D16" s="14">
        <v>1.0</v>
      </c>
      <c r="E16" s="14">
        <v>1.0</v>
      </c>
      <c r="F16" s="15">
        <v>0.2</v>
      </c>
      <c r="G16" s="34">
        <f t="shared" si="2"/>
        <v>0.2</v>
      </c>
      <c r="H16" s="17" t="s">
        <v>14</v>
      </c>
      <c r="I16" s="23"/>
      <c r="J16" s="25" t="s">
        <v>74</v>
      </c>
      <c r="K16" s="25" t="s">
        <v>75</v>
      </c>
      <c r="L16" s="39"/>
      <c r="M16" s="39"/>
    </row>
    <row r="17">
      <c r="A17" s="22"/>
      <c r="B17" s="37" t="s">
        <v>76</v>
      </c>
      <c r="C17" s="23" t="s">
        <v>77</v>
      </c>
      <c r="D17" s="14">
        <v>1.0</v>
      </c>
      <c r="E17" s="14">
        <v>1.0</v>
      </c>
      <c r="F17" s="15">
        <v>1.84</v>
      </c>
      <c r="G17" s="34">
        <f t="shared" si="2"/>
        <v>1.84</v>
      </c>
      <c r="H17" s="17" t="s">
        <v>14</v>
      </c>
      <c r="I17" s="23"/>
      <c r="J17" s="25" t="s">
        <v>78</v>
      </c>
      <c r="K17" s="25" t="s">
        <v>79</v>
      </c>
      <c r="L17" s="39"/>
      <c r="M17" s="39"/>
    </row>
    <row r="18">
      <c r="A18" s="22"/>
      <c r="B18" s="37" t="s">
        <v>80</v>
      </c>
      <c r="C18" s="23" t="s">
        <v>81</v>
      </c>
      <c r="D18" s="14">
        <v>13.0</v>
      </c>
      <c r="E18" s="14">
        <v>10.0</v>
      </c>
      <c r="F18" s="15">
        <v>0.061</v>
      </c>
      <c r="G18" s="34">
        <f t="shared" si="2"/>
        <v>0.793</v>
      </c>
      <c r="H18" s="17" t="s">
        <v>14</v>
      </c>
      <c r="I18" s="23"/>
      <c r="J18" s="25" t="s">
        <v>82</v>
      </c>
      <c r="K18" s="25" t="s">
        <v>83</v>
      </c>
      <c r="L18" s="39"/>
      <c r="M18" s="39"/>
    </row>
    <row r="19">
      <c r="A19" s="22"/>
      <c r="B19" s="37" t="s">
        <v>84</v>
      </c>
      <c r="C19" s="41" t="s">
        <v>85</v>
      </c>
      <c r="D19" s="42">
        <v>7.0</v>
      </c>
      <c r="E19" s="42">
        <v>1.0</v>
      </c>
      <c r="F19" s="43">
        <v>0.12</v>
      </c>
      <c r="G19" s="44">
        <f t="shared" si="2"/>
        <v>0.84</v>
      </c>
      <c r="H19" s="45" t="s">
        <v>14</v>
      </c>
      <c r="I19" s="46"/>
      <c r="J19" s="47" t="s">
        <v>86</v>
      </c>
      <c r="K19" s="48" t="s">
        <v>87</v>
      </c>
      <c r="L19" s="49"/>
      <c r="M19" s="49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</row>
    <row r="20">
      <c r="A20" s="22"/>
      <c r="B20" s="37" t="s">
        <v>88</v>
      </c>
      <c r="C20" s="41" t="s">
        <v>89</v>
      </c>
      <c r="D20" s="42">
        <v>3.0</v>
      </c>
      <c r="E20" s="42">
        <v>1.0</v>
      </c>
      <c r="F20" s="43">
        <v>0.08</v>
      </c>
      <c r="G20" s="44">
        <f t="shared" si="2"/>
        <v>0.24</v>
      </c>
      <c r="H20" s="51" t="s">
        <v>14</v>
      </c>
      <c r="I20" s="46"/>
      <c r="J20" s="47" t="s">
        <v>90</v>
      </c>
      <c r="K20" s="47" t="s">
        <v>91</v>
      </c>
      <c r="L20" s="49"/>
      <c r="M20" s="49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</row>
    <row r="21">
      <c r="A21" s="22"/>
      <c r="B21" s="37" t="s">
        <v>92</v>
      </c>
      <c r="C21" s="41" t="s">
        <v>93</v>
      </c>
      <c r="D21" s="42">
        <v>2.0</v>
      </c>
      <c r="E21" s="42">
        <v>1.0</v>
      </c>
      <c r="F21" s="43">
        <v>0.33</v>
      </c>
      <c r="G21" s="44">
        <f t="shared" si="2"/>
        <v>0.66</v>
      </c>
      <c r="H21" s="45" t="s">
        <v>14</v>
      </c>
      <c r="I21" s="46"/>
      <c r="J21" s="48" t="s">
        <v>94</v>
      </c>
      <c r="K21" s="48" t="s">
        <v>95</v>
      </c>
      <c r="L21" s="49"/>
      <c r="M21" s="49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>
      <c r="A22" s="22"/>
      <c r="B22" s="52" t="s">
        <v>96</v>
      </c>
      <c r="C22" s="41" t="s">
        <v>97</v>
      </c>
      <c r="D22" s="42">
        <v>3.0</v>
      </c>
      <c r="E22" s="42">
        <v>1.0</v>
      </c>
      <c r="F22" s="43">
        <v>0.08</v>
      </c>
      <c r="G22" s="44">
        <f t="shared" si="2"/>
        <v>0.24</v>
      </c>
      <c r="H22" s="51" t="s">
        <v>14</v>
      </c>
      <c r="I22" s="46"/>
      <c r="J22" s="48" t="s">
        <v>98</v>
      </c>
      <c r="K22" s="48" t="s">
        <v>99</v>
      </c>
      <c r="L22" s="49"/>
      <c r="M22" s="49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>
      <c r="A23" s="22"/>
      <c r="B23" s="52" t="s">
        <v>100</v>
      </c>
      <c r="C23" s="41" t="s">
        <v>101</v>
      </c>
      <c r="D23" s="42">
        <v>4.0</v>
      </c>
      <c r="E23" s="42">
        <v>1.0</v>
      </c>
      <c r="F23" s="43">
        <v>0.23</v>
      </c>
      <c r="G23" s="44">
        <f t="shared" si="2"/>
        <v>0.92</v>
      </c>
      <c r="H23" s="45" t="s">
        <v>14</v>
      </c>
      <c r="I23" s="46"/>
      <c r="J23" s="47" t="s">
        <v>102</v>
      </c>
      <c r="K23" s="48" t="s">
        <v>103</v>
      </c>
      <c r="L23" s="49"/>
      <c r="M23" s="49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>
      <c r="A24" s="22"/>
      <c r="B24" s="53" t="s">
        <v>104</v>
      </c>
      <c r="C24" s="41" t="s">
        <v>105</v>
      </c>
      <c r="D24" s="42">
        <v>1.0</v>
      </c>
      <c r="E24" s="42">
        <v>1.0</v>
      </c>
      <c r="F24" s="43">
        <v>0.1</v>
      </c>
      <c r="G24" s="44">
        <f t="shared" si="2"/>
        <v>0.1</v>
      </c>
      <c r="H24" s="51" t="s">
        <v>14</v>
      </c>
      <c r="I24" s="46"/>
      <c r="J24" s="47" t="s">
        <v>106</v>
      </c>
      <c r="K24" s="48" t="s">
        <v>107</v>
      </c>
      <c r="L24" s="49"/>
      <c r="M24" s="49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>
      <c r="A25" s="22"/>
      <c r="B25" s="53" t="s">
        <v>108</v>
      </c>
      <c r="C25" s="41" t="s">
        <v>109</v>
      </c>
      <c r="D25" s="42">
        <v>18.0</v>
      </c>
      <c r="E25" s="42">
        <v>10.0</v>
      </c>
      <c r="F25" s="43">
        <v>0.007</v>
      </c>
      <c r="G25" s="44">
        <f t="shared" si="2"/>
        <v>0.126</v>
      </c>
      <c r="H25" s="45" t="s">
        <v>14</v>
      </c>
      <c r="I25" s="46"/>
      <c r="J25" s="47" t="s">
        <v>110</v>
      </c>
      <c r="K25" s="48" t="s">
        <v>111</v>
      </c>
      <c r="L25" s="49"/>
      <c r="M25" s="49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>
      <c r="A26" s="22"/>
      <c r="B26" s="53" t="s">
        <v>112</v>
      </c>
      <c r="C26" s="54" t="s">
        <v>113</v>
      </c>
      <c r="D26" s="55">
        <v>1.0</v>
      </c>
      <c r="E26" s="55">
        <v>1.0</v>
      </c>
      <c r="F26" s="56">
        <v>0.45</v>
      </c>
      <c r="G26" s="44">
        <f t="shared" si="2"/>
        <v>0.45</v>
      </c>
      <c r="H26" s="51" t="s">
        <v>14</v>
      </c>
      <c r="I26" s="57"/>
      <c r="J26" s="58" t="s">
        <v>114</v>
      </c>
      <c r="K26" s="59" t="s">
        <v>115</v>
      </c>
      <c r="L26" s="60"/>
      <c r="M26" s="6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>
      <c r="A27" s="22"/>
      <c r="B27" s="53" t="s">
        <v>116</v>
      </c>
      <c r="C27" s="54" t="s">
        <v>117</v>
      </c>
      <c r="D27" s="55">
        <v>6.0</v>
      </c>
      <c r="E27" s="55">
        <v>1.0</v>
      </c>
      <c r="F27" s="56">
        <v>0.1</v>
      </c>
      <c r="G27" s="61">
        <f t="shared" si="2"/>
        <v>0.6</v>
      </c>
      <c r="H27" s="51" t="s">
        <v>14</v>
      </c>
      <c r="I27" s="57"/>
      <c r="J27" s="58" t="s">
        <v>118</v>
      </c>
      <c r="K27" s="58" t="s">
        <v>119</v>
      </c>
      <c r="L27" s="60"/>
      <c r="M27" s="6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>
      <c r="A28" s="22"/>
      <c r="B28" s="53" t="s">
        <v>120</v>
      </c>
      <c r="C28" s="54" t="s">
        <v>121</v>
      </c>
      <c r="D28" s="55">
        <v>1.0</v>
      </c>
      <c r="E28" s="55">
        <v>1.0</v>
      </c>
      <c r="F28" s="56">
        <v>0.1</v>
      </c>
      <c r="G28" s="61">
        <f t="shared" si="2"/>
        <v>0.1</v>
      </c>
      <c r="H28" s="51" t="s">
        <v>14</v>
      </c>
      <c r="I28" s="57"/>
      <c r="J28" s="58" t="s">
        <v>122</v>
      </c>
      <c r="K28" s="58" t="s">
        <v>123</v>
      </c>
      <c r="L28" s="60"/>
      <c r="M28" s="6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</row>
    <row r="29">
      <c r="A29" s="22"/>
      <c r="B29" s="53" t="s">
        <v>124</v>
      </c>
      <c r="C29" s="54" t="s">
        <v>125</v>
      </c>
      <c r="D29" s="55">
        <v>1.0</v>
      </c>
      <c r="E29" s="55">
        <v>1.0</v>
      </c>
      <c r="F29" s="56">
        <v>0.1</v>
      </c>
      <c r="G29" s="61">
        <f t="shared" si="2"/>
        <v>0.1</v>
      </c>
      <c r="H29" s="51" t="s">
        <v>14</v>
      </c>
      <c r="I29" s="57"/>
      <c r="J29" s="58" t="s">
        <v>126</v>
      </c>
      <c r="K29" s="58" t="s">
        <v>127</v>
      </c>
      <c r="L29" s="60"/>
      <c r="M29" s="6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</row>
    <row r="30">
      <c r="A30" s="62"/>
      <c r="B30" s="63" t="s">
        <v>128</v>
      </c>
      <c r="C30" s="62"/>
      <c r="D30" s="62"/>
      <c r="E30" s="62"/>
      <c r="F30" s="62"/>
      <c r="G30" s="63">
        <v>100.0</v>
      </c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>
      <c r="A32" s="64" t="s">
        <v>129</v>
      </c>
      <c r="B32" s="12" t="s">
        <v>130</v>
      </c>
      <c r="C32" s="23" t="s">
        <v>131</v>
      </c>
      <c r="D32" s="14">
        <v>0.0</v>
      </c>
      <c r="E32" s="14">
        <v>1.0</v>
      </c>
      <c r="F32" s="15">
        <v>8.95</v>
      </c>
      <c r="G32" s="16">
        <f t="shared" ref="G32:G36" si="3">D32*F32</f>
        <v>0</v>
      </c>
      <c r="H32" s="17" t="s">
        <v>132</v>
      </c>
      <c r="I32" s="24"/>
      <c r="J32" s="38" t="s">
        <v>133</v>
      </c>
      <c r="K32" s="25" t="s">
        <v>134</v>
      </c>
      <c r="L32" s="65" t="s">
        <v>135</v>
      </c>
      <c r="M32" s="65" t="s">
        <v>136</v>
      </c>
    </row>
    <row r="33">
      <c r="A33" s="66"/>
      <c r="B33" s="12" t="s">
        <v>137</v>
      </c>
      <c r="C33" s="13" t="s">
        <v>138</v>
      </c>
      <c r="D33" s="14">
        <v>0.0</v>
      </c>
      <c r="E33" s="14">
        <v>1.0</v>
      </c>
      <c r="F33" s="15">
        <v>24.95</v>
      </c>
      <c r="G33" s="16">
        <f t="shared" si="3"/>
        <v>0</v>
      </c>
      <c r="H33" s="17" t="s">
        <v>132</v>
      </c>
      <c r="I33" s="18"/>
      <c r="J33" s="19" t="s">
        <v>139</v>
      </c>
      <c r="K33" s="20" t="s">
        <v>140</v>
      </c>
      <c r="L33" s="21"/>
      <c r="M33" s="21"/>
    </row>
    <row r="34">
      <c r="A34" s="66"/>
      <c r="B34" s="12" t="s">
        <v>141</v>
      </c>
      <c r="C34" s="23" t="s">
        <v>142</v>
      </c>
      <c r="D34" s="14">
        <v>0.0</v>
      </c>
      <c r="E34" s="14">
        <v>1.0</v>
      </c>
      <c r="F34" s="15">
        <v>4.45</v>
      </c>
      <c r="G34" s="16">
        <f t="shared" si="3"/>
        <v>0</v>
      </c>
      <c r="H34" s="17" t="s">
        <v>132</v>
      </c>
      <c r="I34" s="24"/>
      <c r="J34" s="38" t="s">
        <v>143</v>
      </c>
      <c r="K34" s="38" t="s">
        <v>144</v>
      </c>
      <c r="L34" s="67"/>
      <c r="M34" s="67"/>
    </row>
    <row r="35">
      <c r="A35" s="66"/>
      <c r="B35" s="12" t="s">
        <v>145</v>
      </c>
      <c r="C35" s="13" t="s">
        <v>146</v>
      </c>
      <c r="D35" s="14">
        <v>0.0</v>
      </c>
      <c r="E35" s="14">
        <v>1.0</v>
      </c>
      <c r="F35" s="15">
        <v>3.32</v>
      </c>
      <c r="G35" s="16">
        <f t="shared" si="3"/>
        <v>0</v>
      </c>
      <c r="H35" s="17" t="s">
        <v>132</v>
      </c>
      <c r="I35" s="18"/>
      <c r="J35" s="19" t="s">
        <v>147</v>
      </c>
      <c r="K35" s="18"/>
      <c r="L35" s="68"/>
      <c r="M35" s="68"/>
    </row>
    <row r="36">
      <c r="A36" s="69"/>
      <c r="B36" s="12" t="s">
        <v>148</v>
      </c>
      <c r="C36" s="23" t="s">
        <v>149</v>
      </c>
      <c r="D36" s="14">
        <v>0.0</v>
      </c>
      <c r="E36" s="14">
        <v>1.0</v>
      </c>
      <c r="F36" s="15">
        <v>2.95</v>
      </c>
      <c r="G36" s="16">
        <f t="shared" si="3"/>
        <v>0</v>
      </c>
      <c r="H36" s="17" t="s">
        <v>132</v>
      </c>
      <c r="I36" s="24"/>
      <c r="J36" s="38" t="s">
        <v>150</v>
      </c>
      <c r="K36" s="24"/>
      <c r="L36" s="67"/>
      <c r="M36" s="67"/>
    </row>
    <row r="37">
      <c r="A37" s="70"/>
      <c r="B37" s="71"/>
      <c r="C37" s="18"/>
      <c r="D37" s="72"/>
      <c r="E37" s="72"/>
      <c r="F37" s="16"/>
      <c r="G37" s="16"/>
      <c r="H37" s="17"/>
      <c r="I37" s="18"/>
      <c r="J37" s="18"/>
      <c r="K37" s="18"/>
      <c r="L37" s="68"/>
      <c r="M37" s="68"/>
    </row>
    <row r="38">
      <c r="A38" s="73" t="s">
        <v>151</v>
      </c>
      <c r="B38" s="74" t="s">
        <v>152</v>
      </c>
      <c r="C38" s="23" t="s">
        <v>153</v>
      </c>
      <c r="D38" s="14">
        <v>0.0</v>
      </c>
      <c r="E38" s="14"/>
      <c r="F38" s="15">
        <v>8.49</v>
      </c>
      <c r="G38" s="15">
        <f>D38*F38</f>
        <v>0</v>
      </c>
      <c r="H38" s="17" t="s">
        <v>132</v>
      </c>
      <c r="I38" s="23" t="s">
        <v>154</v>
      </c>
      <c r="J38" s="38" t="s">
        <v>155</v>
      </c>
      <c r="K38" s="25" t="s">
        <v>156</v>
      </c>
      <c r="L38" s="67"/>
      <c r="M38" s="67"/>
    </row>
    <row r="39">
      <c r="A39" s="66"/>
      <c r="B39" s="75" t="s">
        <v>157</v>
      </c>
      <c r="C39" s="18"/>
      <c r="D39" s="72"/>
      <c r="E39" s="72"/>
      <c r="F39" s="16"/>
      <c r="G39" s="16"/>
      <c r="H39" s="17"/>
      <c r="I39" s="18"/>
      <c r="J39" s="18"/>
      <c r="K39" s="76"/>
      <c r="L39" s="68"/>
      <c r="M39" s="68"/>
    </row>
    <row r="40">
      <c r="A40" s="69"/>
      <c r="B40" s="77" t="s">
        <v>158</v>
      </c>
      <c r="C40" s="78"/>
      <c r="D40" s="79"/>
      <c r="E40" s="79"/>
      <c r="F40" s="80"/>
      <c r="G40" s="80"/>
      <c r="H40" s="81"/>
      <c r="I40" s="78"/>
      <c r="J40" s="78"/>
      <c r="K40" s="78"/>
      <c r="L40" s="67"/>
      <c r="M40" s="67"/>
    </row>
    <row r="41">
      <c r="A41" s="70"/>
      <c r="B41" s="82"/>
      <c r="C41" s="83"/>
      <c r="D41" s="84"/>
      <c r="E41" s="84"/>
      <c r="F41" s="85"/>
      <c r="G41" s="85"/>
      <c r="H41" s="86"/>
      <c r="I41" s="83"/>
      <c r="J41" s="83"/>
      <c r="K41" s="83"/>
      <c r="L41" s="68"/>
      <c r="M41" s="68"/>
    </row>
    <row r="42">
      <c r="A42" s="87"/>
      <c r="B42" s="88"/>
      <c r="C42" s="87"/>
      <c r="D42" s="89"/>
      <c r="E42" s="89"/>
      <c r="F42" s="90"/>
      <c r="G42" s="91" t="s">
        <v>159</v>
      </c>
      <c r="I42" s="87"/>
      <c r="J42" s="87"/>
      <c r="K42" s="87"/>
    </row>
    <row r="43">
      <c r="A43" s="87"/>
      <c r="B43" s="88"/>
      <c r="C43" s="87"/>
      <c r="D43" s="89"/>
      <c r="E43" s="89"/>
      <c r="F43" s="90"/>
      <c r="G43" s="92">
        <f>sum(Sheet12!$G$2:$G$41)</f>
        <v>154.858</v>
      </c>
      <c r="I43" s="87"/>
      <c r="J43" s="87"/>
      <c r="K43" s="87"/>
    </row>
    <row r="46">
      <c r="B46" s="93" t="s">
        <v>160</v>
      </c>
    </row>
    <row r="48">
      <c r="A48" s="94"/>
      <c r="B48" s="27" t="s">
        <v>161</v>
      </c>
      <c r="C48" s="28" t="s">
        <v>162</v>
      </c>
      <c r="D48" s="29" t="s">
        <v>163</v>
      </c>
      <c r="E48" s="29" t="s">
        <v>24</v>
      </c>
      <c r="F48" s="28" t="s">
        <v>164</v>
      </c>
      <c r="G48" s="34">
        <f t="shared" ref="G48:G62" si="4">D48*F48</f>
        <v>0.28</v>
      </c>
      <c r="H48" s="95" t="s">
        <v>14</v>
      </c>
      <c r="I48" s="28" t="s">
        <v>165</v>
      </c>
      <c r="J48" s="96" t="s">
        <v>166</v>
      </c>
      <c r="K48" s="31" t="s">
        <v>167</v>
      </c>
      <c r="L48" s="36"/>
      <c r="M48" s="36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>
      <c r="A49" s="94"/>
      <c r="B49" s="97" t="s">
        <v>168</v>
      </c>
      <c r="C49" s="28" t="s">
        <v>169</v>
      </c>
      <c r="D49" s="29"/>
      <c r="E49" s="29" t="s">
        <v>24</v>
      </c>
      <c r="F49" s="28" t="s">
        <v>170</v>
      </c>
      <c r="G49" s="34">
        <f t="shared" si="4"/>
        <v>0</v>
      </c>
      <c r="H49" s="95" t="s">
        <v>14</v>
      </c>
      <c r="I49" s="28"/>
      <c r="J49" s="96" t="s">
        <v>171</v>
      </c>
      <c r="K49" s="31" t="s">
        <v>172</v>
      </c>
      <c r="L49" s="36"/>
      <c r="M49" s="36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>
      <c r="A50" s="94"/>
      <c r="B50" s="98" t="s">
        <v>173</v>
      </c>
      <c r="C50" s="28" t="s">
        <v>174</v>
      </c>
      <c r="D50" s="29"/>
      <c r="E50" s="29" t="s">
        <v>24</v>
      </c>
      <c r="F50" s="28" t="s">
        <v>175</v>
      </c>
      <c r="G50" s="34">
        <f t="shared" si="4"/>
        <v>0</v>
      </c>
      <c r="H50" s="95" t="s">
        <v>14</v>
      </c>
      <c r="I50" s="28"/>
      <c r="J50" s="30" t="s">
        <v>176</v>
      </c>
      <c r="K50" s="99" t="s">
        <v>177</v>
      </c>
      <c r="L50" s="36"/>
      <c r="M50" s="36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>
      <c r="A51" s="94"/>
      <c r="B51" s="98" t="s">
        <v>178</v>
      </c>
      <c r="C51" s="28" t="s">
        <v>179</v>
      </c>
      <c r="D51" s="29"/>
      <c r="E51" s="29" t="s">
        <v>24</v>
      </c>
      <c r="F51" s="28" t="s">
        <v>180</v>
      </c>
      <c r="G51" s="34">
        <f t="shared" si="4"/>
        <v>0</v>
      </c>
      <c r="H51" s="95" t="s">
        <v>14</v>
      </c>
      <c r="I51" s="28"/>
      <c r="J51" s="96" t="s">
        <v>181</v>
      </c>
      <c r="K51" s="31" t="s">
        <v>182</v>
      </c>
      <c r="L51" s="36"/>
      <c r="M51" s="36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>
      <c r="A52" s="94"/>
      <c r="B52" s="98" t="s">
        <v>183</v>
      </c>
      <c r="C52" s="28" t="s">
        <v>184</v>
      </c>
      <c r="D52" s="29"/>
      <c r="E52" s="29" t="s">
        <v>24</v>
      </c>
      <c r="F52" s="28" t="s">
        <v>185</v>
      </c>
      <c r="G52" s="34">
        <f t="shared" si="4"/>
        <v>0</v>
      </c>
      <c r="H52" s="95" t="s">
        <v>14</v>
      </c>
      <c r="I52" s="28"/>
      <c r="J52" s="30" t="s">
        <v>186</v>
      </c>
      <c r="K52" s="99" t="s">
        <v>182</v>
      </c>
      <c r="L52" s="36"/>
      <c r="M52" s="36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>
      <c r="A53" s="94"/>
      <c r="B53" s="98" t="s">
        <v>187</v>
      </c>
      <c r="C53" s="28" t="s">
        <v>188</v>
      </c>
      <c r="D53" s="29"/>
      <c r="E53" s="29" t="s">
        <v>24</v>
      </c>
      <c r="F53" s="28" t="s">
        <v>189</v>
      </c>
      <c r="G53" s="34">
        <f t="shared" si="4"/>
        <v>0</v>
      </c>
      <c r="H53" s="95" t="s">
        <v>14</v>
      </c>
      <c r="I53" s="28"/>
      <c r="J53" s="100" t="s">
        <v>190</v>
      </c>
      <c r="K53" s="99" t="s">
        <v>191</v>
      </c>
      <c r="L53" s="36"/>
      <c r="M53" s="36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>
      <c r="A54" s="101"/>
      <c r="B54" s="102" t="s">
        <v>192</v>
      </c>
      <c r="C54" s="23" t="s">
        <v>193</v>
      </c>
      <c r="D54" s="14"/>
      <c r="E54" s="14">
        <v>1.0</v>
      </c>
      <c r="F54" s="15">
        <v>0.68</v>
      </c>
      <c r="G54" s="34">
        <f t="shared" si="4"/>
        <v>0</v>
      </c>
      <c r="H54" s="17" t="s">
        <v>14</v>
      </c>
      <c r="I54" s="24"/>
      <c r="J54" s="38" t="s">
        <v>194</v>
      </c>
      <c r="K54" s="103" t="s">
        <v>195</v>
      </c>
      <c r="L54" s="39"/>
      <c r="M54" s="39"/>
    </row>
    <row r="55">
      <c r="A55" s="101"/>
      <c r="B55" s="102" t="s">
        <v>196</v>
      </c>
      <c r="C55" s="23" t="s">
        <v>197</v>
      </c>
      <c r="D55" s="14"/>
      <c r="E55" s="14">
        <v>1.0</v>
      </c>
      <c r="F55" s="15">
        <v>0.68</v>
      </c>
      <c r="G55" s="34">
        <f t="shared" si="4"/>
        <v>0</v>
      </c>
      <c r="H55" s="17" t="s">
        <v>14</v>
      </c>
      <c r="I55" s="24"/>
      <c r="J55" s="38" t="s">
        <v>198</v>
      </c>
      <c r="K55" s="103" t="s">
        <v>199</v>
      </c>
      <c r="L55" s="39"/>
      <c r="M55" s="39"/>
    </row>
    <row r="56">
      <c r="A56" s="104"/>
      <c r="B56" s="105" t="s">
        <v>200</v>
      </c>
      <c r="C56" s="106" t="s">
        <v>228</v>
      </c>
      <c r="D56" s="106"/>
      <c r="E56" s="106" t="s">
        <v>24</v>
      </c>
      <c r="F56" s="61">
        <v>3.54</v>
      </c>
      <c r="G56" s="34">
        <f t="shared" si="4"/>
        <v>0</v>
      </c>
      <c r="H56" s="45" t="s">
        <v>14</v>
      </c>
      <c r="I56" s="106" t="s">
        <v>202</v>
      </c>
      <c r="J56" s="30" t="s">
        <v>203</v>
      </c>
      <c r="K56" s="107" t="s">
        <v>37</v>
      </c>
      <c r="L56" s="108"/>
      <c r="M56" s="108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</row>
    <row r="57">
      <c r="A57" s="109"/>
      <c r="B57" s="110" t="s">
        <v>204</v>
      </c>
      <c r="C57" s="111" t="s">
        <v>205</v>
      </c>
      <c r="D57" s="112"/>
      <c r="E57" s="112" t="s">
        <v>24</v>
      </c>
      <c r="F57" s="113">
        <v>3.56</v>
      </c>
      <c r="G57" s="114">
        <f t="shared" si="4"/>
        <v>0</v>
      </c>
      <c r="H57" s="115" t="s">
        <v>14</v>
      </c>
      <c r="I57" s="111"/>
      <c r="J57" s="116" t="s">
        <v>206</v>
      </c>
      <c r="K57" s="117" t="s">
        <v>207</v>
      </c>
      <c r="L57" s="118"/>
      <c r="M57" s="118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</row>
    <row r="58">
      <c r="A58" s="120"/>
      <c r="B58" s="121" t="s">
        <v>208</v>
      </c>
      <c r="C58" s="111" t="s">
        <v>209</v>
      </c>
      <c r="D58" s="112" t="s">
        <v>24</v>
      </c>
      <c r="E58" s="112" t="s">
        <v>24</v>
      </c>
      <c r="F58" s="111" t="s">
        <v>210</v>
      </c>
      <c r="G58" s="122">
        <f t="shared" si="4"/>
        <v>8.61</v>
      </c>
      <c r="H58" s="123" t="s">
        <v>14</v>
      </c>
      <c r="I58" s="124"/>
      <c r="J58" s="125" t="s">
        <v>211</v>
      </c>
      <c r="K58" s="126" t="s">
        <v>212</v>
      </c>
      <c r="L58" s="118"/>
      <c r="M58" s="118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</row>
    <row r="59">
      <c r="A59" s="127"/>
      <c r="B59" s="121" t="s">
        <v>213</v>
      </c>
      <c r="C59" s="111" t="s">
        <v>214</v>
      </c>
      <c r="D59" s="112" t="s">
        <v>24</v>
      </c>
      <c r="E59" s="112" t="s">
        <v>24</v>
      </c>
      <c r="F59" s="111" t="s">
        <v>215</v>
      </c>
      <c r="G59" s="122">
        <f t="shared" si="4"/>
        <v>1.52</v>
      </c>
      <c r="H59" s="128" t="s">
        <v>14</v>
      </c>
      <c r="I59" s="111"/>
      <c r="J59" s="129" t="s">
        <v>216</v>
      </c>
      <c r="K59" s="130" t="s">
        <v>217</v>
      </c>
      <c r="L59" s="118"/>
      <c r="M59" s="118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</row>
    <row r="60">
      <c r="A60" s="101"/>
      <c r="B60" s="131" t="s">
        <v>218</v>
      </c>
      <c r="C60" s="132" t="s">
        <v>219</v>
      </c>
      <c r="D60" s="133" t="s">
        <v>24</v>
      </c>
      <c r="E60" s="133" t="s">
        <v>24</v>
      </c>
      <c r="F60" s="132" t="s">
        <v>220</v>
      </c>
      <c r="G60" s="16">
        <f t="shared" si="4"/>
        <v>7.17</v>
      </c>
      <c r="H60" s="134" t="s">
        <v>14</v>
      </c>
      <c r="I60" s="132"/>
      <c r="J60" s="135" t="s">
        <v>221</v>
      </c>
      <c r="K60" s="136" t="s">
        <v>222</v>
      </c>
      <c r="L60" s="36"/>
      <c r="M60" s="36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>
      <c r="A61" s="101"/>
      <c r="B61" s="131" t="s">
        <v>208</v>
      </c>
      <c r="C61" s="132" t="s">
        <v>209</v>
      </c>
      <c r="D61" s="133" t="s">
        <v>24</v>
      </c>
      <c r="E61" s="133" t="s">
        <v>24</v>
      </c>
      <c r="F61" s="132" t="s">
        <v>210</v>
      </c>
      <c r="G61" s="16">
        <f t="shared" si="4"/>
        <v>8.61</v>
      </c>
      <c r="H61" s="134" t="s">
        <v>14</v>
      </c>
      <c r="I61" s="132"/>
      <c r="J61" s="135" t="s">
        <v>211</v>
      </c>
      <c r="K61" s="136" t="s">
        <v>212</v>
      </c>
      <c r="L61" s="36"/>
      <c r="M61" s="36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>
      <c r="A62" s="101"/>
      <c r="B62" s="131" t="s">
        <v>223</v>
      </c>
      <c r="C62" s="132" t="s">
        <v>224</v>
      </c>
      <c r="D62" s="133" t="s">
        <v>24</v>
      </c>
      <c r="E62" s="133" t="s">
        <v>24</v>
      </c>
      <c r="F62" s="137" t="s">
        <v>225</v>
      </c>
      <c r="G62" s="16">
        <f t="shared" si="4"/>
        <v>0.11</v>
      </c>
      <c r="H62" s="134" t="s">
        <v>14</v>
      </c>
      <c r="I62" s="132"/>
      <c r="J62" s="135" t="s">
        <v>226</v>
      </c>
      <c r="K62" s="136" t="s">
        <v>227</v>
      </c>
      <c r="L62" s="36"/>
      <c r="M62" s="36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</sheetData>
  <mergeCells count="3">
    <mergeCell ref="A32:A36"/>
    <mergeCell ref="A38:A40"/>
    <mergeCell ref="A2:A29"/>
  </mergeCells>
  <dataValidations>
    <dataValidation type="list" allowBlank="1" showErrorMessage="1" sqref="H2:H29 H32:H36 H38 H48:H62">
      <formula1>"Arrived,Ordered,Not Ordered"</formula1>
    </dataValidation>
  </dataValidations>
  <hyperlinks>
    <hyperlink r:id="rId2" ref="J2"/>
    <hyperlink r:id="rId3" ref="K2"/>
    <hyperlink r:id="rId4" ref="J3"/>
    <hyperlink r:id="rId5" ref="K3"/>
    <hyperlink r:id="rId6" ref="J4"/>
    <hyperlink r:id="rId7" ref="K4"/>
    <hyperlink r:id="rId8" ref="J5"/>
    <hyperlink r:id="rId9" ref="K5"/>
    <hyperlink r:id="rId10" ref="J6"/>
    <hyperlink r:id="rId11" ref="K6"/>
    <hyperlink r:id="rId12" ref="J7"/>
    <hyperlink r:id="rId13" ref="K7"/>
    <hyperlink r:id="rId14" ref="J8"/>
    <hyperlink r:id="rId15" ref="K8"/>
    <hyperlink r:id="rId16" ref="J9"/>
    <hyperlink r:id="rId17" ref="K9"/>
    <hyperlink r:id="rId18" ref="J11"/>
    <hyperlink r:id="rId19" ref="K11"/>
    <hyperlink r:id="rId20" ref="J12"/>
    <hyperlink r:id="rId21" ref="K12"/>
    <hyperlink r:id="rId22" ref="J13"/>
    <hyperlink r:id="rId23" ref="K13"/>
    <hyperlink r:id="rId24" ref="J14"/>
    <hyperlink r:id="rId25" ref="K14"/>
    <hyperlink r:id="rId26" ref="J15"/>
    <hyperlink r:id="rId27" ref="K15"/>
    <hyperlink r:id="rId28" ref="J16"/>
    <hyperlink r:id="rId29" ref="K16"/>
    <hyperlink r:id="rId30" ref="J17"/>
    <hyperlink r:id="rId31" ref="K17"/>
    <hyperlink r:id="rId32" ref="J18"/>
    <hyperlink r:id="rId33" ref="K18"/>
    <hyperlink r:id="rId34" ref="J19"/>
    <hyperlink r:id="rId35" ref="K19"/>
    <hyperlink r:id="rId36" ref="J20"/>
    <hyperlink r:id="rId37" ref="K20"/>
    <hyperlink r:id="rId38" ref="J21"/>
    <hyperlink r:id="rId39" ref="K21"/>
    <hyperlink r:id="rId40" ref="J22"/>
    <hyperlink r:id="rId41" ref="K22"/>
    <hyperlink r:id="rId42" ref="J23"/>
    <hyperlink r:id="rId43" ref="K23"/>
    <hyperlink r:id="rId44" ref="J24"/>
    <hyperlink r:id="rId45" ref="K24"/>
    <hyperlink r:id="rId46" ref="J25"/>
    <hyperlink r:id="rId47" ref="K25"/>
    <hyperlink r:id="rId48" ref="J26"/>
    <hyperlink r:id="rId49" ref="K26"/>
    <hyperlink r:id="rId50" ref="J27"/>
    <hyperlink r:id="rId51" ref="K27"/>
    <hyperlink r:id="rId52" ref="J28"/>
    <hyperlink r:id="rId53" ref="K28"/>
    <hyperlink r:id="rId54" ref="J29"/>
    <hyperlink r:id="rId55" ref="K29"/>
    <hyperlink r:id="rId56" ref="J32"/>
    <hyperlink r:id="rId57" ref="K32"/>
    <hyperlink r:id="rId58" ref="L32"/>
    <hyperlink r:id="rId59" ref="M32"/>
    <hyperlink r:id="rId60" ref="J33"/>
    <hyperlink r:id="rId61" ref="K33"/>
    <hyperlink r:id="rId62" ref="J34"/>
    <hyperlink r:id="rId63" ref="K34"/>
    <hyperlink r:id="rId64" ref="J35"/>
    <hyperlink r:id="rId65" ref="J36"/>
    <hyperlink r:id="rId66" ref="J38"/>
    <hyperlink r:id="rId67" ref="K38"/>
    <hyperlink r:id="rId68" ref="J48"/>
    <hyperlink r:id="rId69" ref="K48"/>
    <hyperlink r:id="rId70" ref="J49"/>
    <hyperlink r:id="rId71" ref="K49"/>
    <hyperlink r:id="rId72" ref="J50"/>
    <hyperlink r:id="rId73" ref="K50"/>
    <hyperlink r:id="rId74" ref="J51"/>
    <hyperlink r:id="rId75" ref="K51"/>
    <hyperlink r:id="rId76" ref="J52"/>
    <hyperlink r:id="rId77" ref="K52"/>
    <hyperlink r:id="rId78" ref="J53"/>
    <hyperlink r:id="rId79" ref="K53"/>
    <hyperlink r:id="rId80" ref="J54"/>
    <hyperlink r:id="rId81" ref="K54"/>
    <hyperlink r:id="rId82" ref="J55"/>
    <hyperlink r:id="rId83" ref="K55"/>
    <hyperlink r:id="rId84" ref="J56"/>
    <hyperlink r:id="rId85" ref="K56"/>
    <hyperlink r:id="rId86" ref="J57"/>
    <hyperlink r:id="rId87" ref="K57"/>
    <hyperlink r:id="rId88" ref="J58"/>
    <hyperlink r:id="rId89" ref="K58"/>
    <hyperlink r:id="rId90" ref="J59"/>
    <hyperlink r:id="rId91" ref="K59"/>
    <hyperlink r:id="rId92" ref="J60"/>
    <hyperlink r:id="rId93" ref="K60"/>
    <hyperlink r:id="rId94" ref="J61"/>
    <hyperlink r:id="rId95" ref="K61"/>
    <hyperlink r:id="rId96" ref="J62"/>
    <hyperlink r:id="rId97" ref="K62"/>
  </hyperlinks>
  <drawing r:id="rId98"/>
  <legacyDrawing r:id="rId99"/>
  <tableParts count="2">
    <tablePart r:id="rId102"/>
    <tablePart r:id="rId10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5.13"/>
    <col customWidth="1" min="3" max="3" width="13.13"/>
    <col customWidth="1" min="4" max="5" width="16.38"/>
    <col customWidth="1" min="6" max="6" width="17.63"/>
    <col customWidth="1" min="7" max="7" width="15.13"/>
  </cols>
  <sheetData>
    <row r="1" ht="22.5" customHeight="1">
      <c r="A1" s="138" t="s">
        <v>1</v>
      </c>
      <c r="B1" s="139" t="s">
        <v>9</v>
      </c>
      <c r="C1" s="140" t="s">
        <v>3</v>
      </c>
      <c r="D1" s="140" t="s">
        <v>229</v>
      </c>
      <c r="E1" s="140" t="s">
        <v>6</v>
      </c>
      <c r="F1" s="141" t="s">
        <v>7</v>
      </c>
      <c r="G1" s="139" t="s">
        <v>8</v>
      </c>
    </row>
    <row r="2" ht="22.5" customHeight="1">
      <c r="A2" s="142"/>
      <c r="B2" s="143"/>
      <c r="C2" s="144"/>
      <c r="D2" s="145"/>
      <c r="E2" s="145">
        <f t="shared" ref="E2:E14" si="1">C2*D2</f>
        <v>0</v>
      </c>
      <c r="F2" s="146" t="s">
        <v>14</v>
      </c>
      <c r="G2" s="143"/>
    </row>
    <row r="3" ht="22.5" customHeight="1">
      <c r="A3" s="142"/>
      <c r="B3" s="147"/>
      <c r="C3" s="144"/>
      <c r="D3" s="145"/>
      <c r="E3" s="145">
        <f t="shared" si="1"/>
        <v>0</v>
      </c>
      <c r="F3" s="146" t="s">
        <v>14</v>
      </c>
      <c r="G3" s="147"/>
    </row>
    <row r="4" ht="22.5" customHeight="1">
      <c r="A4" s="148"/>
      <c r="B4" s="143"/>
      <c r="C4" s="144"/>
      <c r="D4" s="145"/>
      <c r="E4" s="145">
        <f t="shared" si="1"/>
        <v>0</v>
      </c>
      <c r="F4" s="146" t="s">
        <v>14</v>
      </c>
      <c r="G4" s="143"/>
    </row>
    <row r="5" ht="22.5" customHeight="1">
      <c r="A5" s="142"/>
      <c r="B5" s="147"/>
      <c r="C5" s="144"/>
      <c r="D5" s="145"/>
      <c r="E5" s="145">
        <f t="shared" si="1"/>
        <v>0</v>
      </c>
      <c r="F5" s="146" t="s">
        <v>14</v>
      </c>
      <c r="G5" s="147"/>
    </row>
    <row r="6" ht="22.5" customHeight="1">
      <c r="A6" s="142"/>
      <c r="B6" s="143"/>
      <c r="C6" s="144"/>
      <c r="D6" s="145"/>
      <c r="E6" s="145">
        <f t="shared" si="1"/>
        <v>0</v>
      </c>
      <c r="F6" s="149"/>
      <c r="G6" s="143"/>
    </row>
    <row r="7" ht="22.5" customHeight="1">
      <c r="A7" s="142"/>
      <c r="B7" s="147"/>
      <c r="C7" s="144"/>
      <c r="D7" s="145"/>
      <c r="E7" s="145">
        <f t="shared" si="1"/>
        <v>0</v>
      </c>
      <c r="F7" s="149"/>
      <c r="G7" s="147"/>
    </row>
    <row r="8" ht="22.5" customHeight="1">
      <c r="A8" s="142"/>
      <c r="B8" s="143"/>
      <c r="C8" s="144"/>
      <c r="D8" s="145"/>
      <c r="E8" s="145">
        <f t="shared" si="1"/>
        <v>0</v>
      </c>
      <c r="F8" s="149"/>
      <c r="G8" s="143"/>
    </row>
    <row r="9" ht="22.5" customHeight="1">
      <c r="A9" s="142"/>
      <c r="B9" s="147"/>
      <c r="C9" s="144"/>
      <c r="D9" s="145"/>
      <c r="E9" s="145">
        <f t="shared" si="1"/>
        <v>0</v>
      </c>
      <c r="F9" s="149"/>
      <c r="G9" s="147"/>
    </row>
    <row r="10" ht="22.5" customHeight="1">
      <c r="A10" s="143"/>
      <c r="B10" s="143"/>
      <c r="C10" s="144"/>
      <c r="D10" s="145"/>
      <c r="E10" s="145">
        <f t="shared" si="1"/>
        <v>0</v>
      </c>
      <c r="F10" s="149"/>
      <c r="G10" s="143"/>
    </row>
    <row r="11" ht="22.5" customHeight="1">
      <c r="A11" s="147"/>
      <c r="B11" s="147"/>
      <c r="C11" s="144"/>
      <c r="D11" s="150"/>
      <c r="E11" s="150">
        <f t="shared" si="1"/>
        <v>0</v>
      </c>
      <c r="F11" s="149"/>
      <c r="G11" s="147"/>
    </row>
    <row r="12" ht="22.5" customHeight="1">
      <c r="A12" s="143"/>
      <c r="B12" s="143"/>
      <c r="C12" s="144"/>
      <c r="D12" s="145"/>
      <c r="E12" s="145">
        <f t="shared" si="1"/>
        <v>0</v>
      </c>
      <c r="F12" s="149"/>
      <c r="G12" s="143"/>
    </row>
    <row r="13" ht="22.5" customHeight="1">
      <c r="A13" s="147"/>
      <c r="B13" s="147"/>
      <c r="C13" s="144"/>
      <c r="D13" s="145"/>
      <c r="E13" s="145">
        <f t="shared" si="1"/>
        <v>0</v>
      </c>
      <c r="F13" s="149"/>
      <c r="G13" s="147"/>
    </row>
    <row r="14" ht="22.5" customHeight="1">
      <c r="A14" s="143"/>
      <c r="B14" s="143"/>
      <c r="C14" s="144"/>
      <c r="D14" s="145"/>
      <c r="E14" s="145">
        <f t="shared" si="1"/>
        <v>0</v>
      </c>
      <c r="F14" s="149"/>
      <c r="G14" s="143"/>
    </row>
    <row r="15" ht="22.5" customHeight="1">
      <c r="A15" s="151"/>
      <c r="B15" s="152"/>
      <c r="C15" s="153"/>
      <c r="D15" s="145">
        <f>sum(BOM_3[Total Cost])</f>
        <v>0</v>
      </c>
      <c r="E15" s="154">
        <f>sum(BOM_3[Total Cost])</f>
        <v>0</v>
      </c>
      <c r="F15" s="155"/>
      <c r="G15" s="152"/>
    </row>
  </sheetData>
  <dataValidations>
    <dataValidation type="list" allowBlank="1" sqref="F2:F14">
      <formula1>"Ordered,Arrived,Not Ordered"</formula1>
    </dataValidation>
    <dataValidation type="custom" allowBlank="1" showDropDown="1" sqref="C2:E14">
      <formula1>AND(ISNUMBER(C2),(NOT(OR(NOT(ISERROR(DATEVALUE(C2))), AND(ISNUMBER(C2), LEFT(CELL("format", C2))="D")))))</formula1>
    </dataValidation>
    <dataValidation allowBlank="1" showDropDown="1" sqref="A2:B14 G2:G14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56" t="s">
        <v>230</v>
      </c>
    </row>
    <row r="7">
      <c r="A7" s="157" t="s">
        <v>231</v>
      </c>
    </row>
    <row r="8">
      <c r="A8" s="156" t="s">
        <v>232</v>
      </c>
    </row>
    <row r="9">
      <c r="A9" s="157" t="s">
        <v>233</v>
      </c>
    </row>
  </sheetData>
  <hyperlinks>
    <hyperlink r:id="rId1" ref="A4"/>
    <hyperlink r:id="rId2" ref="A7"/>
    <hyperlink r:id="rId3" ref="A8"/>
    <hyperlink r:id="rId4" ref="A9"/>
  </hyperlinks>
  <drawing r:id="rId5"/>
</worksheet>
</file>